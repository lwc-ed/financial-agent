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fb7462c90f1ed9/桌面/"/>
    </mc:Choice>
  </mc:AlternateContent>
  <xr:revisionPtr revIDLastSave="0" documentId="8_{16E5944F-FFEF-48A8-AE24-A9620443F495}" xr6:coauthVersionLast="47" xr6:coauthVersionMax="47" xr10:uidLastSave="{00000000-0000-0000-0000-000000000000}"/>
  <bookViews>
    <workbookView xWindow="-108" yWindow="-108" windowWidth="23256" windowHeight="12456" xr2:uid="{F63D064A-89B8-40E1-8B91-F2EB158B06E6}"/>
  </bookViews>
  <sheets>
    <sheet name="2020-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/>
  <c r="D4" i="1" s="1"/>
  <c r="D5" i="1" s="1"/>
  <c r="D6" i="1" s="1"/>
  <c r="D7" i="1" s="1"/>
  <c r="D8" i="1" s="1"/>
  <c r="D9" i="1" s="1"/>
  <c r="D10" i="1" s="1"/>
  <c r="D11" i="1"/>
  <c r="D12" i="1"/>
  <c r="D13" i="1"/>
  <c r="D14" i="1"/>
  <c r="D15" i="1"/>
  <c r="D16" i="1"/>
  <c r="D17" i="1"/>
  <c r="D18" i="1" s="1"/>
  <c r="D19" i="1" s="1"/>
  <c r="D20" i="1" s="1"/>
  <c r="D21" i="1" s="1"/>
  <c r="D22" i="1" s="1"/>
  <c r="D23" i="1" s="1"/>
  <c r="D24" i="1" s="1"/>
  <c r="D25" i="1" s="1"/>
  <c r="D26" i="1" s="1"/>
  <c r="D27" i="1"/>
  <c r="D28" i="1"/>
  <c r="D29" i="1"/>
  <c r="D30" i="1"/>
  <c r="D31" i="1"/>
  <c r="D32" i="1"/>
  <c r="D33" i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</calcChain>
</file>

<file path=xl/sharedStrings.xml><?xml version="1.0" encoding="utf-8"?>
<sst xmlns="http://schemas.openxmlformats.org/spreadsheetml/2006/main" count="426" uniqueCount="6">
  <si>
    <t>Expense</t>
    <phoneticPr fontId="1" type="noConversion"/>
  </si>
  <si>
    <t>Income</t>
    <phoneticPr fontId="1" type="noConversion"/>
  </si>
  <si>
    <t>net_cash_flow</t>
  </si>
  <si>
    <t>amount</t>
    <phoneticPr fontId="1" type="noConversion"/>
  </si>
  <si>
    <t>transaction_type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</si>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</sst>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2" xfId="0" applyNumberFormat="1" applyBorder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04EC4-96F1-405A-B53E-57B3CD882B87}">
  <dimension ref="A1:K424"/>
  <sheetViews>
    <sheetView tabSelected="1" topLeftCell="A13" workbookViewId="0">
      <selection activeCell="F100" sqref="F100"/>
    </sheetView>
  </sheetViews>
  <sheetFormatPr defaultRowHeight="16.2" x14ac:dyDescent="0.3"/>
  <cols>
    <col min="1" max="1" width="14.88671875" customWidth="1"/>
    <col min="2" max="2" width="18.109375" customWidth="1"/>
    <col min="4" max="4" width="16.77734375" customWidth="1"/>
  </cols>
  <sheetData>
    <row r="1" spans="1:11" x14ac:dyDescent="0.3">
      <c r="A1" s="3" t="s">
        <v>5</v>
      </c>
      <c r="B1" s="3" t="s">
        <v>4</v>
      </c>
      <c r="C1" s="3" t="s">
        <v>3</v>
      </c>
      <c r="D1" s="3" t="s">
        <v>2</v>
      </c>
    </row>
    <row r="2" spans="1:11" x14ac:dyDescent="0.3">
      <c r="A2" s="2">
        <v>44116</v>
      </c>
      <c r="B2" s="1" t="s">
        <v>1</v>
      </c>
      <c r="C2" s="1">
        <v>10000</v>
      </c>
      <c r="D2" s="1">
        <f>C2</f>
        <v>10000</v>
      </c>
      <c r="H2" s="2"/>
      <c r="I2" s="1"/>
      <c r="K2" s="3"/>
    </row>
    <row r="3" spans="1:11" x14ac:dyDescent="0.3">
      <c r="A3" s="2">
        <v>44116</v>
      </c>
      <c r="B3" s="1" t="s">
        <v>0</v>
      </c>
      <c r="C3" s="1">
        <v>55</v>
      </c>
      <c r="D3">
        <f>IF(B3="Expense",D2-C3,D2+C3)</f>
        <v>9945</v>
      </c>
      <c r="H3" s="2"/>
      <c r="I3" s="1"/>
      <c r="K3" s="3"/>
    </row>
    <row r="4" spans="1:11" x14ac:dyDescent="0.3">
      <c r="A4" s="2">
        <v>44116</v>
      </c>
      <c r="B4" s="1" t="s">
        <v>0</v>
      </c>
      <c r="C4" s="1">
        <v>30</v>
      </c>
      <c r="D4">
        <f>IF(B4="Expense",D3-C4,D3+C4)</f>
        <v>9915</v>
      </c>
      <c r="H4" s="2"/>
      <c r="I4" s="1"/>
      <c r="K4" s="3"/>
    </row>
    <row r="5" spans="1:11" x14ac:dyDescent="0.3">
      <c r="A5" s="2">
        <v>44117</v>
      </c>
      <c r="B5" s="1" t="s">
        <v>0</v>
      </c>
      <c r="C5" s="1">
        <v>25</v>
      </c>
      <c r="D5">
        <f>IF(B5="Expense",D4-C5,D4+C5)</f>
        <v>9890</v>
      </c>
      <c r="H5" s="2"/>
      <c r="I5" s="1"/>
      <c r="K5" s="3"/>
    </row>
    <row r="6" spans="1:11" x14ac:dyDescent="0.3">
      <c r="A6" s="2">
        <v>44118</v>
      </c>
      <c r="B6" s="1" t="s">
        <v>0</v>
      </c>
      <c r="C6" s="1">
        <v>30</v>
      </c>
      <c r="D6">
        <f>IF(B6="Expense",D5-C6,D5+C6)</f>
        <v>9860</v>
      </c>
      <c r="H6" s="2"/>
      <c r="I6" s="1"/>
      <c r="K6" s="3"/>
    </row>
    <row r="7" spans="1:11" x14ac:dyDescent="0.3">
      <c r="A7" s="2">
        <v>44118</v>
      </c>
      <c r="B7" s="1" t="s">
        <v>0</v>
      </c>
      <c r="C7" s="1">
        <v>54</v>
      </c>
      <c r="D7">
        <f>IF(B7="Expense",D6-C7,D6+C7)</f>
        <v>9806</v>
      </c>
      <c r="H7" s="2"/>
      <c r="I7" s="1"/>
      <c r="K7" s="3"/>
    </row>
    <row r="8" spans="1:11" x14ac:dyDescent="0.3">
      <c r="A8" s="2">
        <v>44120</v>
      </c>
      <c r="B8" s="1" t="s">
        <v>0</v>
      </c>
      <c r="C8" s="1">
        <v>60</v>
      </c>
      <c r="D8">
        <f>IF(B8="Expense",D7-C8,D7+C8)</f>
        <v>9746</v>
      </c>
      <c r="H8" s="2"/>
      <c r="I8" s="1"/>
      <c r="K8" s="3"/>
    </row>
    <row r="9" spans="1:11" x14ac:dyDescent="0.3">
      <c r="A9" s="2">
        <v>44120</v>
      </c>
      <c r="B9" s="1" t="s">
        <v>0</v>
      </c>
      <c r="C9" s="1">
        <v>30</v>
      </c>
      <c r="D9">
        <f>IF(B9="Expense",D8-C9,D8+C9)</f>
        <v>9716</v>
      </c>
      <c r="H9" s="2"/>
      <c r="I9" s="1"/>
      <c r="K9" s="3"/>
    </row>
    <row r="10" spans="1:11" x14ac:dyDescent="0.3">
      <c r="A10" s="2">
        <v>44123</v>
      </c>
      <c r="B10" s="1" t="s">
        <v>0</v>
      </c>
      <c r="C10" s="1">
        <v>60</v>
      </c>
      <c r="D10">
        <f>IF(B10="Expense",D9-C10,D9+C10)</f>
        <v>9656</v>
      </c>
      <c r="H10" s="2"/>
      <c r="I10" s="1"/>
      <c r="K10" s="3"/>
    </row>
    <row r="11" spans="1:11" x14ac:dyDescent="0.3">
      <c r="A11" s="2">
        <v>44123</v>
      </c>
      <c r="B11" s="1" t="s">
        <v>0</v>
      </c>
      <c r="C11" s="1">
        <v>30</v>
      </c>
      <c r="D11">
        <f>IF(B11="Expense",D10-C11,D10+C11)</f>
        <v>9626</v>
      </c>
      <c r="H11" s="2"/>
      <c r="I11" s="1"/>
      <c r="K11" s="3"/>
    </row>
    <row r="12" spans="1:11" x14ac:dyDescent="0.3">
      <c r="A12" s="2">
        <v>44124</v>
      </c>
      <c r="B12" s="1" t="s">
        <v>0</v>
      </c>
      <c r="C12" s="1">
        <v>60</v>
      </c>
      <c r="D12">
        <f>IF(B12="Expense",D11-C12,D11+C12)</f>
        <v>9566</v>
      </c>
      <c r="H12" s="2"/>
      <c r="I12" s="1"/>
      <c r="K12" s="3"/>
    </row>
    <row r="13" spans="1:11" x14ac:dyDescent="0.3">
      <c r="A13" s="2">
        <v>44124</v>
      </c>
      <c r="B13" s="1" t="s">
        <v>0</v>
      </c>
      <c r="C13" s="1">
        <v>30</v>
      </c>
      <c r="D13">
        <f>IF(B13="Expense",D12-C13,D12+C13)</f>
        <v>9536</v>
      </c>
      <c r="H13" s="2"/>
      <c r="I13" s="1"/>
      <c r="K13" s="3"/>
    </row>
    <row r="14" spans="1:11" x14ac:dyDescent="0.3">
      <c r="A14" s="2">
        <v>44125</v>
      </c>
      <c r="B14" s="1" t="s">
        <v>0</v>
      </c>
      <c r="C14" s="1">
        <v>40</v>
      </c>
      <c r="D14">
        <f>IF(B14="Expense",D13-C14,D13+C14)</f>
        <v>9496</v>
      </c>
      <c r="H14" s="2"/>
      <c r="I14" s="1"/>
      <c r="K14" s="3"/>
    </row>
    <row r="15" spans="1:11" x14ac:dyDescent="0.3">
      <c r="A15" s="2">
        <v>44125</v>
      </c>
      <c r="B15" s="1" t="s">
        <v>0</v>
      </c>
      <c r="C15" s="1">
        <v>30</v>
      </c>
      <c r="D15">
        <f>IF(B15="Expense",D14-C15,D14+C15)</f>
        <v>9466</v>
      </c>
      <c r="H15" s="2"/>
      <c r="I15" s="1"/>
      <c r="K15" s="3"/>
    </row>
    <row r="16" spans="1:11" x14ac:dyDescent="0.3">
      <c r="A16" s="2">
        <v>44126</v>
      </c>
      <c r="B16" s="1" t="s">
        <v>0</v>
      </c>
      <c r="C16" s="1">
        <v>68</v>
      </c>
      <c r="D16">
        <f>IF(B16="Expense",D15-C16,D15+C16)</f>
        <v>9398</v>
      </c>
      <c r="H16" s="2"/>
      <c r="I16" s="1"/>
      <c r="K16" s="3"/>
    </row>
    <row r="17" spans="1:11" x14ac:dyDescent="0.3">
      <c r="A17" s="2">
        <v>44126</v>
      </c>
      <c r="B17" s="1" t="s">
        <v>0</v>
      </c>
      <c r="C17" s="1">
        <v>25</v>
      </c>
      <c r="D17">
        <f>IF(B17="Expense",D16-C17,D16+C17)</f>
        <v>9373</v>
      </c>
      <c r="H17" s="2"/>
      <c r="I17" s="1"/>
      <c r="K17" s="3"/>
    </row>
    <row r="18" spans="1:11" x14ac:dyDescent="0.3">
      <c r="A18" s="2">
        <v>44130</v>
      </c>
      <c r="B18" s="1" t="s">
        <v>0</v>
      </c>
      <c r="C18" s="1">
        <v>25</v>
      </c>
      <c r="D18">
        <f>IF(B18="Expense",D17-C18,D17+C18)</f>
        <v>9348</v>
      </c>
      <c r="H18" s="2"/>
      <c r="I18" s="1"/>
      <c r="K18" s="3"/>
    </row>
    <row r="19" spans="1:11" x14ac:dyDescent="0.3">
      <c r="A19" s="2">
        <v>44130</v>
      </c>
      <c r="B19" s="1" t="s">
        <v>0</v>
      </c>
      <c r="C19" s="1">
        <v>80</v>
      </c>
      <c r="D19">
        <f>IF(B19="Expense",D18-C19,D18+C19)</f>
        <v>9268</v>
      </c>
      <c r="H19" s="2"/>
      <c r="I19" s="1"/>
      <c r="K19" s="3"/>
    </row>
    <row r="20" spans="1:11" x14ac:dyDescent="0.3">
      <c r="A20" s="2">
        <v>44131</v>
      </c>
      <c r="B20" s="1" t="s">
        <v>0</v>
      </c>
      <c r="C20" s="1">
        <v>80</v>
      </c>
      <c r="D20">
        <f>IF(B20="Expense",D19-C20,D19+C20)</f>
        <v>9188</v>
      </c>
      <c r="H20" s="2"/>
      <c r="I20" s="1"/>
      <c r="K20" s="3"/>
    </row>
    <row r="21" spans="1:11" x14ac:dyDescent="0.3">
      <c r="A21" s="2">
        <v>44131</v>
      </c>
      <c r="B21" s="1" t="s">
        <v>0</v>
      </c>
      <c r="C21" s="1">
        <v>25</v>
      </c>
      <c r="D21">
        <f>IF(B21="Expense",D20-C21,D20+C21)</f>
        <v>9163</v>
      </c>
      <c r="H21" s="2"/>
      <c r="I21" s="1"/>
      <c r="K21" s="3"/>
    </row>
    <row r="22" spans="1:11" x14ac:dyDescent="0.3">
      <c r="A22" s="2">
        <v>44132</v>
      </c>
      <c r="B22" s="1" t="s">
        <v>0</v>
      </c>
      <c r="C22" s="1">
        <v>70</v>
      </c>
      <c r="D22">
        <f>IF(B22="Expense",D21-C22,D21+C22)</f>
        <v>9093</v>
      </c>
      <c r="H22" s="2"/>
      <c r="I22" s="1"/>
      <c r="K22" s="3"/>
    </row>
    <row r="23" spans="1:11" x14ac:dyDescent="0.3">
      <c r="A23" s="2">
        <v>44132</v>
      </c>
      <c r="B23" s="1" t="s">
        <v>0</v>
      </c>
      <c r="C23" s="1">
        <v>30</v>
      </c>
      <c r="D23">
        <f>IF(B23="Expense",D22-C23,D22+C23)</f>
        <v>9063</v>
      </c>
      <c r="H23" s="2"/>
      <c r="I23" s="1"/>
      <c r="K23" s="3"/>
    </row>
    <row r="24" spans="1:11" x14ac:dyDescent="0.3">
      <c r="A24" s="2">
        <v>44133</v>
      </c>
      <c r="B24" s="1" t="s">
        <v>0</v>
      </c>
      <c r="C24" s="1">
        <v>30</v>
      </c>
      <c r="D24">
        <f>IF(B24="Expense",D23-C24,D23+C24)</f>
        <v>9033</v>
      </c>
      <c r="H24" s="2"/>
      <c r="I24" s="1"/>
      <c r="K24" s="3"/>
    </row>
    <row r="25" spans="1:11" x14ac:dyDescent="0.3">
      <c r="A25" s="2">
        <v>44133</v>
      </c>
      <c r="B25" s="1" t="s">
        <v>0</v>
      </c>
      <c r="C25" s="1">
        <v>60</v>
      </c>
      <c r="D25">
        <f>IF(B25="Expense",D24-C25,D24+C25)</f>
        <v>8973</v>
      </c>
      <c r="H25" s="2"/>
      <c r="I25" s="1"/>
      <c r="K25" s="3"/>
    </row>
    <row r="26" spans="1:11" x14ac:dyDescent="0.3">
      <c r="A26" s="2">
        <v>44134</v>
      </c>
      <c r="B26" s="1" t="s">
        <v>0</v>
      </c>
      <c r="C26" s="1">
        <v>60</v>
      </c>
      <c r="D26">
        <f>IF(B26="Expense",D25-C26,D25+C26)</f>
        <v>8913</v>
      </c>
      <c r="H26" s="2"/>
      <c r="I26" s="1"/>
      <c r="K26" s="3"/>
    </row>
    <row r="27" spans="1:11" x14ac:dyDescent="0.3">
      <c r="A27" s="2">
        <v>44134</v>
      </c>
      <c r="B27" s="1" t="s">
        <v>0</v>
      </c>
      <c r="C27" s="1">
        <v>30</v>
      </c>
      <c r="D27">
        <f>IF(B27="Expense",D26-C27,D26+C27)</f>
        <v>8883</v>
      </c>
      <c r="H27" s="2"/>
      <c r="I27" s="1"/>
      <c r="K27" s="3"/>
    </row>
    <row r="28" spans="1:11" x14ac:dyDescent="0.3">
      <c r="A28" s="2">
        <v>44179</v>
      </c>
      <c r="B28" s="1" t="s">
        <v>1</v>
      </c>
      <c r="C28" s="1">
        <v>10000</v>
      </c>
      <c r="D28">
        <f>IF(B28="Expense",D27-C28,D27+C28)</f>
        <v>18883</v>
      </c>
      <c r="H28" s="2"/>
      <c r="I28" s="1"/>
      <c r="K28" s="3"/>
    </row>
    <row r="29" spans="1:11" x14ac:dyDescent="0.3">
      <c r="A29" s="2">
        <v>44179</v>
      </c>
      <c r="B29" s="1" t="s">
        <v>0</v>
      </c>
      <c r="C29" s="1">
        <v>70</v>
      </c>
      <c r="D29">
        <f>IF(B29="Expense",D28-C29,D28+C29)</f>
        <v>18813</v>
      </c>
      <c r="H29" s="2"/>
      <c r="I29" s="1"/>
      <c r="K29" s="3"/>
    </row>
    <row r="30" spans="1:11" x14ac:dyDescent="0.3">
      <c r="A30" s="2">
        <v>44180</v>
      </c>
      <c r="B30" s="1" t="s">
        <v>0</v>
      </c>
      <c r="C30" s="1">
        <v>60</v>
      </c>
      <c r="D30">
        <f>IF(B30="Expense",D29-C30,D29+C30)</f>
        <v>18753</v>
      </c>
      <c r="H30" s="2"/>
      <c r="I30" s="1"/>
      <c r="K30" s="3"/>
    </row>
    <row r="31" spans="1:11" x14ac:dyDescent="0.3">
      <c r="A31" s="2">
        <v>44181</v>
      </c>
      <c r="B31" s="1" t="s">
        <v>0</v>
      </c>
      <c r="C31" s="1">
        <v>80</v>
      </c>
      <c r="D31">
        <f>IF(B31="Expense",D30-C31,D30+C31)</f>
        <v>18673</v>
      </c>
      <c r="H31" s="2"/>
      <c r="I31" s="1"/>
      <c r="K31" s="3"/>
    </row>
    <row r="32" spans="1:11" x14ac:dyDescent="0.3">
      <c r="A32" s="2">
        <v>44181</v>
      </c>
      <c r="B32" s="1" t="s">
        <v>0</v>
      </c>
      <c r="C32" s="1">
        <v>35</v>
      </c>
      <c r="D32">
        <f>IF(B32="Expense",D31-C32,D31+C32)</f>
        <v>18638</v>
      </c>
      <c r="H32" s="2"/>
      <c r="I32" s="1"/>
      <c r="K32" s="3"/>
    </row>
    <row r="33" spans="1:11" x14ac:dyDescent="0.3">
      <c r="A33" s="2">
        <v>44182</v>
      </c>
      <c r="B33" s="1" t="s">
        <v>0</v>
      </c>
      <c r="C33" s="1">
        <v>60</v>
      </c>
      <c r="D33">
        <f>IF(B33="Expense",D32-C33,D32+C33)</f>
        <v>18578</v>
      </c>
      <c r="H33" s="2"/>
      <c r="I33" s="1"/>
      <c r="K33" s="3"/>
    </row>
    <row r="34" spans="1:11" x14ac:dyDescent="0.3">
      <c r="A34" s="2">
        <v>44182</v>
      </c>
      <c r="B34" s="1" t="s">
        <v>0</v>
      </c>
      <c r="C34" s="1">
        <v>30</v>
      </c>
      <c r="D34">
        <f>IF(B34="Expense",D33-C34,D33+C34)</f>
        <v>18548</v>
      </c>
      <c r="H34" s="2"/>
      <c r="I34" s="1"/>
      <c r="K34" s="3"/>
    </row>
    <row r="35" spans="1:11" x14ac:dyDescent="0.3">
      <c r="A35" s="2">
        <v>44186</v>
      </c>
      <c r="B35" s="1" t="s">
        <v>0</v>
      </c>
      <c r="C35" s="1">
        <v>30</v>
      </c>
      <c r="D35">
        <f>IF(B35="Expense",D34-C35,D34+C35)</f>
        <v>18518</v>
      </c>
      <c r="H35" s="2"/>
      <c r="I35" s="1"/>
      <c r="K35" s="3"/>
    </row>
    <row r="36" spans="1:11" x14ac:dyDescent="0.3">
      <c r="A36" s="2">
        <v>44186</v>
      </c>
      <c r="B36" s="1" t="s">
        <v>0</v>
      </c>
      <c r="C36" s="1">
        <v>60</v>
      </c>
      <c r="D36">
        <f>IF(B36="Expense",D35-C36,D35+C36)</f>
        <v>18458</v>
      </c>
      <c r="H36" s="2"/>
      <c r="I36" s="1"/>
      <c r="K36" s="3"/>
    </row>
    <row r="37" spans="1:11" x14ac:dyDescent="0.3">
      <c r="A37" s="2">
        <v>44186</v>
      </c>
      <c r="B37" s="1" t="s">
        <v>0</v>
      </c>
      <c r="C37" s="1">
        <v>35</v>
      </c>
      <c r="D37">
        <f>IF(B37="Expense",D36-C37,D36+C37)</f>
        <v>18423</v>
      </c>
      <c r="H37" s="2"/>
      <c r="I37" s="1"/>
      <c r="K37" s="3"/>
    </row>
    <row r="38" spans="1:11" x14ac:dyDescent="0.3">
      <c r="A38" s="2">
        <v>44186</v>
      </c>
      <c r="B38" s="1" t="s">
        <v>0</v>
      </c>
      <c r="C38" s="1">
        <v>49</v>
      </c>
      <c r="D38">
        <f>IF(B38="Expense",D37-C38,D37+C38)</f>
        <v>18374</v>
      </c>
      <c r="H38" s="2"/>
      <c r="I38" s="1"/>
      <c r="K38" s="3"/>
    </row>
    <row r="39" spans="1:11" x14ac:dyDescent="0.3">
      <c r="A39" s="2">
        <v>44187</v>
      </c>
      <c r="B39" s="1" t="s">
        <v>0</v>
      </c>
      <c r="C39" s="1">
        <v>95</v>
      </c>
      <c r="D39">
        <f>IF(B39="Expense",D38-C39,D38+C39)</f>
        <v>18279</v>
      </c>
      <c r="H39" s="2"/>
      <c r="I39" s="1"/>
      <c r="K39" s="3"/>
    </row>
    <row r="40" spans="1:11" x14ac:dyDescent="0.3">
      <c r="A40" s="2">
        <v>44188</v>
      </c>
      <c r="B40" s="1" t="s">
        <v>0</v>
      </c>
      <c r="C40" s="1">
        <v>80</v>
      </c>
      <c r="D40">
        <f>IF(B40="Expense",D39-C40,D39+C40)</f>
        <v>18199</v>
      </c>
      <c r="H40" s="2"/>
      <c r="I40" s="1"/>
      <c r="K40" s="3"/>
    </row>
    <row r="41" spans="1:11" x14ac:dyDescent="0.3">
      <c r="A41" s="2">
        <v>44188</v>
      </c>
      <c r="B41" s="1" t="s">
        <v>0</v>
      </c>
      <c r="C41" s="1">
        <v>25</v>
      </c>
      <c r="D41">
        <f>IF(B41="Expense",D40-C41,D40+C41)</f>
        <v>18174</v>
      </c>
      <c r="H41" s="2"/>
      <c r="I41" s="1"/>
      <c r="K41" s="3"/>
    </row>
    <row r="42" spans="1:11" x14ac:dyDescent="0.3">
      <c r="A42" s="2">
        <v>44189</v>
      </c>
      <c r="B42" s="1" t="s">
        <v>0</v>
      </c>
      <c r="C42" s="1">
        <v>150</v>
      </c>
      <c r="D42">
        <f>IF(B42="Expense",D41-C42,D41+C42)</f>
        <v>18024</v>
      </c>
      <c r="H42" s="2"/>
      <c r="I42" s="1"/>
      <c r="K42" s="3"/>
    </row>
    <row r="43" spans="1:11" x14ac:dyDescent="0.3">
      <c r="A43" s="2">
        <v>44190</v>
      </c>
      <c r="B43" s="1" t="s">
        <v>0</v>
      </c>
      <c r="C43" s="1">
        <v>80</v>
      </c>
      <c r="D43">
        <f>IF(B43="Expense",D42-C43,D42+C43)</f>
        <v>17944</v>
      </c>
      <c r="H43" s="2"/>
      <c r="I43" s="1"/>
      <c r="K43" s="3"/>
    </row>
    <row r="44" spans="1:11" x14ac:dyDescent="0.3">
      <c r="A44" s="2">
        <v>44193</v>
      </c>
      <c r="B44" s="1" t="s">
        <v>0</v>
      </c>
      <c r="C44" s="1">
        <v>70</v>
      </c>
      <c r="D44">
        <f>IF(B44="Expense",D43-C44,D43+C44)</f>
        <v>17874</v>
      </c>
      <c r="H44" s="2"/>
      <c r="I44" s="1"/>
      <c r="K44" s="3"/>
    </row>
    <row r="45" spans="1:11" x14ac:dyDescent="0.3">
      <c r="A45" s="2">
        <v>44193</v>
      </c>
      <c r="B45" s="1" t="s">
        <v>0</v>
      </c>
      <c r="C45" s="1">
        <v>30</v>
      </c>
      <c r="D45">
        <f>IF(B45="Expense",D44-C45,D44+C45)</f>
        <v>17844</v>
      </c>
      <c r="H45" s="2"/>
      <c r="I45" s="1"/>
      <c r="K45" s="3"/>
    </row>
    <row r="46" spans="1:11" x14ac:dyDescent="0.3">
      <c r="A46" s="2">
        <v>44194</v>
      </c>
      <c r="B46" s="1" t="s">
        <v>0</v>
      </c>
      <c r="C46" s="1">
        <v>30</v>
      </c>
      <c r="D46">
        <f>IF(B46="Expense",D45-C46,D45+C46)</f>
        <v>17814</v>
      </c>
      <c r="H46" s="2"/>
      <c r="I46" s="1"/>
      <c r="K46" s="3"/>
    </row>
    <row r="47" spans="1:11" x14ac:dyDescent="0.3">
      <c r="A47" s="2">
        <v>44194</v>
      </c>
      <c r="B47" s="1" t="s">
        <v>0</v>
      </c>
      <c r="C47" s="1">
        <v>70</v>
      </c>
      <c r="D47">
        <f>IF(B47="Expense",D46-C47,D46+C47)</f>
        <v>17744</v>
      </c>
      <c r="H47" s="2"/>
      <c r="I47" s="1"/>
      <c r="K47" s="3"/>
    </row>
    <row r="48" spans="1:11" x14ac:dyDescent="0.3">
      <c r="A48" s="2">
        <v>44195</v>
      </c>
      <c r="B48" s="1" t="s">
        <v>0</v>
      </c>
      <c r="C48" s="1">
        <v>30</v>
      </c>
      <c r="D48">
        <f>IF(B48="Expense",D47-C48,D47+C48)</f>
        <v>17714</v>
      </c>
      <c r="H48" s="2"/>
      <c r="I48" s="1"/>
      <c r="K48" s="3"/>
    </row>
    <row r="49" spans="1:11" x14ac:dyDescent="0.3">
      <c r="A49" s="2">
        <v>44195</v>
      </c>
      <c r="B49" s="1" t="s">
        <v>0</v>
      </c>
      <c r="C49" s="1">
        <v>55</v>
      </c>
      <c r="D49">
        <f>IF(B49="Expense",D48-C49,D48+C49)</f>
        <v>17659</v>
      </c>
      <c r="H49" s="2"/>
      <c r="I49" s="1"/>
      <c r="K49" s="3"/>
    </row>
    <row r="50" spans="1:11" x14ac:dyDescent="0.3">
      <c r="A50" s="2">
        <v>44196</v>
      </c>
      <c r="B50" s="1" t="s">
        <v>0</v>
      </c>
      <c r="C50" s="1">
        <v>30</v>
      </c>
      <c r="D50">
        <f>IF(B50="Expense",D49-C50,D49+C50)</f>
        <v>17629</v>
      </c>
      <c r="H50" s="2"/>
      <c r="I50" s="1"/>
      <c r="K50" s="3"/>
    </row>
    <row r="51" spans="1:11" x14ac:dyDescent="0.3">
      <c r="A51" s="2">
        <v>44196</v>
      </c>
      <c r="B51" s="1" t="s">
        <v>0</v>
      </c>
      <c r="C51" s="1">
        <v>75</v>
      </c>
      <c r="D51">
        <f>IF(B51="Expense",D50-C51,D50+C51)</f>
        <v>17554</v>
      </c>
      <c r="H51" s="2"/>
      <c r="I51" s="1"/>
      <c r="K51" s="3"/>
    </row>
    <row r="52" spans="1:11" x14ac:dyDescent="0.3">
      <c r="A52" s="2">
        <v>44200</v>
      </c>
      <c r="B52" s="1" t="s">
        <v>1</v>
      </c>
      <c r="C52">
        <v>10000</v>
      </c>
      <c r="D52" s="1">
        <f>IF(B52="Expense",D51-C52,D51+C52)</f>
        <v>27554</v>
      </c>
      <c r="H52" s="2"/>
      <c r="I52" s="1"/>
      <c r="K52" s="3"/>
    </row>
    <row r="53" spans="1:11" x14ac:dyDescent="0.3">
      <c r="A53" s="2">
        <v>44200</v>
      </c>
      <c r="B53" s="1" t="s">
        <v>0</v>
      </c>
      <c r="C53">
        <v>30</v>
      </c>
      <c r="D53" s="1">
        <f>IF(B53="Expense",D52-C53,D52+C53)</f>
        <v>27524</v>
      </c>
      <c r="H53" s="2"/>
      <c r="I53" s="1"/>
      <c r="K53" s="3"/>
    </row>
    <row r="54" spans="1:11" x14ac:dyDescent="0.3">
      <c r="A54" s="2">
        <v>44200</v>
      </c>
      <c r="B54" s="1" t="s">
        <v>0</v>
      </c>
      <c r="C54">
        <v>75</v>
      </c>
      <c r="D54" s="1">
        <f>IF(B54="Expense",D53-C54,D53+C54)</f>
        <v>27449</v>
      </c>
      <c r="H54" s="2"/>
      <c r="I54" s="1"/>
      <c r="K54" s="3"/>
    </row>
    <row r="55" spans="1:11" x14ac:dyDescent="0.3">
      <c r="A55" s="2">
        <v>44201</v>
      </c>
      <c r="B55" s="1" t="s">
        <v>0</v>
      </c>
      <c r="C55">
        <v>30</v>
      </c>
      <c r="D55" s="1">
        <f>IF(B55="Expense",D54-C55,D54+C55)</f>
        <v>27419</v>
      </c>
      <c r="H55" s="2"/>
      <c r="I55" s="1"/>
      <c r="K55" s="3"/>
    </row>
    <row r="56" spans="1:11" x14ac:dyDescent="0.3">
      <c r="A56" s="2">
        <v>44201</v>
      </c>
      <c r="B56" s="1" t="s">
        <v>0</v>
      </c>
      <c r="C56">
        <v>80</v>
      </c>
      <c r="D56" s="1">
        <f>IF(B56="Expense",D55-C56,D55+C56)</f>
        <v>27339</v>
      </c>
      <c r="H56" s="2"/>
      <c r="I56" s="1"/>
      <c r="K56" s="3"/>
    </row>
    <row r="57" spans="1:11" x14ac:dyDescent="0.3">
      <c r="A57" s="2">
        <v>44202</v>
      </c>
      <c r="B57" s="1" t="s">
        <v>0</v>
      </c>
      <c r="C57">
        <v>25</v>
      </c>
      <c r="D57" s="1">
        <f>IF(B57="Expense",D56-C57,D56+C57)</f>
        <v>27314</v>
      </c>
      <c r="H57" s="2"/>
      <c r="I57" s="1"/>
      <c r="K57" s="3"/>
    </row>
    <row r="58" spans="1:11" x14ac:dyDescent="0.3">
      <c r="A58" s="2">
        <v>44202</v>
      </c>
      <c r="B58" s="1" t="s">
        <v>0</v>
      </c>
      <c r="C58">
        <v>44</v>
      </c>
      <c r="D58" s="1">
        <f>IF(B58="Expense",D57-C58,D57+C58)</f>
        <v>27270</v>
      </c>
      <c r="H58" s="2"/>
      <c r="I58" s="1"/>
      <c r="K58" s="3"/>
    </row>
    <row r="59" spans="1:11" x14ac:dyDescent="0.3">
      <c r="A59" s="2">
        <v>44203</v>
      </c>
      <c r="B59" s="1" t="s">
        <v>0</v>
      </c>
      <c r="C59">
        <v>38</v>
      </c>
      <c r="D59" s="1">
        <f>IF(B59="Expense",D58-C59,D58+C59)</f>
        <v>27232</v>
      </c>
      <c r="H59" s="2"/>
      <c r="I59" s="1"/>
      <c r="K59" s="3"/>
    </row>
    <row r="60" spans="1:11" x14ac:dyDescent="0.3">
      <c r="A60" s="2">
        <v>44203</v>
      </c>
      <c r="B60" s="1" t="s">
        <v>0</v>
      </c>
      <c r="C60">
        <v>60</v>
      </c>
      <c r="D60" s="1">
        <f>IF(B60="Expense",D59-C60,D59+C60)</f>
        <v>27172</v>
      </c>
      <c r="H60" s="2"/>
      <c r="I60" s="1"/>
      <c r="K60" s="3"/>
    </row>
    <row r="61" spans="1:11" x14ac:dyDescent="0.3">
      <c r="A61" s="2">
        <v>44204</v>
      </c>
      <c r="B61" s="1" t="s">
        <v>0</v>
      </c>
      <c r="C61">
        <v>45</v>
      </c>
      <c r="D61" s="1">
        <f>IF(B61="Expense",D60-C61,D60+C61)</f>
        <v>27127</v>
      </c>
      <c r="H61" s="2"/>
      <c r="I61" s="1"/>
      <c r="K61" s="3"/>
    </row>
    <row r="62" spans="1:11" x14ac:dyDescent="0.3">
      <c r="A62" s="2">
        <v>44204</v>
      </c>
      <c r="B62" s="1" t="s">
        <v>0</v>
      </c>
      <c r="C62">
        <v>60</v>
      </c>
      <c r="D62" s="1">
        <f>IF(B62="Expense",D61-C62,D61+C62)</f>
        <v>27067</v>
      </c>
      <c r="H62" s="2"/>
      <c r="I62" s="1"/>
      <c r="K62" s="3"/>
    </row>
    <row r="63" spans="1:11" x14ac:dyDescent="0.3">
      <c r="A63" s="2">
        <v>44207</v>
      </c>
      <c r="B63" s="1" t="s">
        <v>0</v>
      </c>
      <c r="C63">
        <v>25</v>
      </c>
      <c r="D63" s="1">
        <f>IF(B63="Expense",D62-C63,D62+C63)</f>
        <v>27042</v>
      </c>
      <c r="H63" s="2"/>
      <c r="I63" s="1"/>
      <c r="K63" s="3"/>
    </row>
    <row r="64" spans="1:11" x14ac:dyDescent="0.3">
      <c r="A64" s="2">
        <v>44207</v>
      </c>
      <c r="B64" s="1" t="s">
        <v>0</v>
      </c>
      <c r="C64">
        <v>75</v>
      </c>
      <c r="D64" s="1">
        <f>IF(B64="Expense",D63-C64,D63+C64)</f>
        <v>26967</v>
      </c>
      <c r="H64" s="2"/>
      <c r="I64" s="1"/>
      <c r="K64" s="3"/>
    </row>
    <row r="65" spans="1:11" x14ac:dyDescent="0.3">
      <c r="A65" s="2">
        <v>44208</v>
      </c>
      <c r="B65" s="1" t="s">
        <v>0</v>
      </c>
      <c r="C65">
        <v>50</v>
      </c>
      <c r="D65" s="1">
        <f>IF(B65="Expense",D64-C65,D64+C65)</f>
        <v>26917</v>
      </c>
      <c r="H65" s="2"/>
      <c r="I65" s="1"/>
      <c r="K65" s="3"/>
    </row>
    <row r="66" spans="1:11" x14ac:dyDescent="0.3">
      <c r="A66" s="2">
        <v>44208</v>
      </c>
      <c r="B66" s="1" t="s">
        <v>0</v>
      </c>
      <c r="C66">
        <v>60</v>
      </c>
      <c r="D66" s="1">
        <f>IF(B66="Expense",D65-C66,D65+C66)</f>
        <v>26857</v>
      </c>
      <c r="H66" s="2"/>
      <c r="I66" s="1"/>
      <c r="K66" s="3"/>
    </row>
    <row r="67" spans="1:11" x14ac:dyDescent="0.3">
      <c r="A67" s="2">
        <v>44209</v>
      </c>
      <c r="B67" s="1" t="s">
        <v>0</v>
      </c>
      <c r="C67">
        <v>30</v>
      </c>
      <c r="D67" s="1">
        <f>IF(B67="Expense",D66-C67,D66+C67)</f>
        <v>26827</v>
      </c>
      <c r="H67" s="2"/>
      <c r="I67" s="1"/>
      <c r="K67" s="3"/>
    </row>
    <row r="68" spans="1:11" x14ac:dyDescent="0.3">
      <c r="A68" s="2">
        <v>44209</v>
      </c>
      <c r="B68" s="1" t="s">
        <v>0</v>
      </c>
      <c r="C68">
        <v>106</v>
      </c>
      <c r="D68" s="1">
        <f>IF(B68="Expense",D67-C68,D67+C68)</f>
        <v>26721</v>
      </c>
      <c r="H68" s="2"/>
      <c r="I68" s="1"/>
      <c r="K68" s="3"/>
    </row>
    <row r="69" spans="1:11" x14ac:dyDescent="0.3">
      <c r="A69" s="2">
        <v>44210</v>
      </c>
      <c r="B69" s="1" t="s">
        <v>0</v>
      </c>
      <c r="C69">
        <v>47</v>
      </c>
      <c r="D69" s="1">
        <f>IF(B69="Expense",D68-C69,D68+C69)</f>
        <v>26674</v>
      </c>
      <c r="H69" s="2"/>
      <c r="I69" s="1"/>
      <c r="K69" s="3"/>
    </row>
    <row r="70" spans="1:11" x14ac:dyDescent="0.3">
      <c r="A70" s="2">
        <v>44210</v>
      </c>
      <c r="B70" s="1" t="s">
        <v>0</v>
      </c>
      <c r="C70">
        <v>65</v>
      </c>
      <c r="D70" s="1">
        <f>IF(B70="Expense",D69-C70,D69+C70)</f>
        <v>26609</v>
      </c>
      <c r="H70" s="2"/>
      <c r="I70" s="1"/>
      <c r="K70" s="3"/>
    </row>
    <row r="71" spans="1:11" x14ac:dyDescent="0.3">
      <c r="A71" s="2">
        <v>44211</v>
      </c>
      <c r="B71" s="1" t="s">
        <v>0</v>
      </c>
      <c r="C71">
        <v>70</v>
      </c>
      <c r="D71" s="1">
        <f>IF(B71="Expense",D70-C71,D70+C71)</f>
        <v>26539</v>
      </c>
      <c r="H71" s="2"/>
      <c r="I71" s="1"/>
      <c r="K71" s="3"/>
    </row>
    <row r="72" spans="1:11" x14ac:dyDescent="0.3">
      <c r="A72" s="2">
        <v>44211</v>
      </c>
      <c r="B72" s="1" t="s">
        <v>0</v>
      </c>
      <c r="C72">
        <v>105</v>
      </c>
      <c r="D72" s="1">
        <f>IF(B72="Expense",D71-C72,D71+C72)</f>
        <v>26434</v>
      </c>
      <c r="H72" s="2"/>
      <c r="I72" s="1"/>
      <c r="K72" s="3"/>
    </row>
    <row r="73" spans="1:11" x14ac:dyDescent="0.3">
      <c r="A73" s="2">
        <v>44211</v>
      </c>
      <c r="B73" s="1" t="s">
        <v>0</v>
      </c>
      <c r="C73">
        <v>30</v>
      </c>
      <c r="D73" s="1">
        <f>IF(B73="Expense",D72-C73,D72+C73)</f>
        <v>26404</v>
      </c>
      <c r="H73" s="2"/>
      <c r="I73" s="1"/>
      <c r="K73" s="3"/>
    </row>
    <row r="74" spans="1:11" x14ac:dyDescent="0.3">
      <c r="A74" s="2">
        <v>44214</v>
      </c>
      <c r="B74" s="1" t="s">
        <v>0</v>
      </c>
      <c r="C74">
        <v>30</v>
      </c>
      <c r="D74" s="1">
        <f>IF(B74="Expense",D73-C74,D73+C74)</f>
        <v>26374</v>
      </c>
      <c r="H74" s="2"/>
      <c r="I74" s="1"/>
      <c r="K74" s="3"/>
    </row>
    <row r="75" spans="1:11" x14ac:dyDescent="0.3">
      <c r="A75" s="2">
        <v>44214</v>
      </c>
      <c r="B75" s="1" t="s">
        <v>0</v>
      </c>
      <c r="C75">
        <v>60</v>
      </c>
      <c r="D75" s="1">
        <f>IF(B75="Expense",D74-C75,D74+C75)</f>
        <v>26314</v>
      </c>
      <c r="H75" s="2"/>
      <c r="I75" s="1"/>
      <c r="K75" s="3"/>
    </row>
    <row r="76" spans="1:11" x14ac:dyDescent="0.3">
      <c r="A76" s="2">
        <v>44223</v>
      </c>
      <c r="B76" s="1" t="s">
        <v>0</v>
      </c>
      <c r="C76">
        <v>160</v>
      </c>
      <c r="D76" s="1">
        <f>IF(B76="Expense",D75-C76,D75+C76)</f>
        <v>26154</v>
      </c>
      <c r="H76" s="2"/>
      <c r="I76" s="1"/>
      <c r="K76" s="3"/>
    </row>
    <row r="77" spans="1:11" x14ac:dyDescent="0.3">
      <c r="A77" s="2">
        <v>44225</v>
      </c>
      <c r="B77" s="1" t="s">
        <v>0</v>
      </c>
      <c r="C77">
        <v>120</v>
      </c>
      <c r="D77" s="1">
        <f>IF(B77="Expense",D76-C77,D76+C77)</f>
        <v>26034</v>
      </c>
      <c r="H77" s="2"/>
      <c r="I77" s="1"/>
      <c r="K77" s="3"/>
    </row>
    <row r="78" spans="1:11" x14ac:dyDescent="0.3">
      <c r="A78" s="2">
        <v>44229</v>
      </c>
      <c r="B78" s="1" t="s">
        <v>1</v>
      </c>
      <c r="C78">
        <v>10000</v>
      </c>
      <c r="D78" s="1">
        <f>IF(B78="Expense",D77-C78,D77+C78)</f>
        <v>36034</v>
      </c>
      <c r="H78" s="2"/>
      <c r="I78" s="1"/>
      <c r="K78" s="3"/>
    </row>
    <row r="79" spans="1:11" x14ac:dyDescent="0.3">
      <c r="A79" s="2">
        <v>44229</v>
      </c>
      <c r="B79" s="1" t="s">
        <v>0</v>
      </c>
      <c r="C79">
        <v>246</v>
      </c>
      <c r="D79" s="1">
        <f>IF(B79="Expense",D78-C79,D78+C79)</f>
        <v>35788</v>
      </c>
      <c r="H79" s="2"/>
      <c r="I79" s="1"/>
      <c r="K79" s="3"/>
    </row>
    <row r="80" spans="1:11" x14ac:dyDescent="0.3">
      <c r="A80" s="2">
        <v>44229</v>
      </c>
      <c r="B80" s="1" t="s">
        <v>0</v>
      </c>
      <c r="C80">
        <v>190</v>
      </c>
      <c r="D80" s="1">
        <f>IF(B80="Expense",D79-C80,D79+C80)</f>
        <v>35598</v>
      </c>
      <c r="H80" s="2"/>
      <c r="I80" s="1"/>
      <c r="K80" s="3"/>
    </row>
    <row r="81" spans="1:11" x14ac:dyDescent="0.3">
      <c r="A81" s="2">
        <v>44229</v>
      </c>
      <c r="B81" s="1" t="s">
        <v>0</v>
      </c>
      <c r="C81">
        <v>25</v>
      </c>
      <c r="D81" s="1">
        <f>IF(B81="Expense",D80-C81,D80+C81)</f>
        <v>35573</v>
      </c>
      <c r="H81" s="2"/>
      <c r="I81" s="1"/>
      <c r="K81" s="3"/>
    </row>
    <row r="82" spans="1:11" x14ac:dyDescent="0.3">
      <c r="A82" s="2">
        <v>44229</v>
      </c>
      <c r="B82" s="1" t="s">
        <v>0</v>
      </c>
      <c r="C82">
        <v>160</v>
      </c>
      <c r="D82" s="1">
        <f>IF(B82="Expense",D81-C82,D81+C82)</f>
        <v>35413</v>
      </c>
      <c r="H82" s="2"/>
      <c r="I82" s="1"/>
      <c r="K82" s="3"/>
    </row>
    <row r="83" spans="1:11" x14ac:dyDescent="0.3">
      <c r="A83" s="2">
        <v>44244</v>
      </c>
      <c r="B83" s="1" t="s">
        <v>0</v>
      </c>
      <c r="C83">
        <v>25</v>
      </c>
      <c r="D83" s="1">
        <f>IF(B83="Expense",D82-C83,D82+C83)</f>
        <v>35388</v>
      </c>
      <c r="H83" s="2"/>
      <c r="I83" s="1"/>
      <c r="K83" s="3"/>
    </row>
    <row r="84" spans="1:11" x14ac:dyDescent="0.3">
      <c r="A84" s="2">
        <v>44244</v>
      </c>
      <c r="B84" s="1" t="s">
        <v>0</v>
      </c>
      <c r="C84">
        <v>60</v>
      </c>
      <c r="D84" s="1">
        <f>IF(B84="Expense",D83-C84,D83+C84)</f>
        <v>35328</v>
      </c>
      <c r="H84" s="2"/>
      <c r="I84" s="1"/>
      <c r="K84" s="3"/>
    </row>
    <row r="85" spans="1:11" x14ac:dyDescent="0.3">
      <c r="A85" s="2">
        <v>44244</v>
      </c>
      <c r="B85" s="1" t="s">
        <v>0</v>
      </c>
      <c r="C85">
        <v>159</v>
      </c>
      <c r="D85" s="1">
        <f>IF(B85="Expense",D84-C85,D84+C85)</f>
        <v>35169</v>
      </c>
      <c r="H85" s="2"/>
      <c r="I85" s="1"/>
      <c r="K85" s="3"/>
    </row>
    <row r="86" spans="1:11" x14ac:dyDescent="0.3">
      <c r="A86" s="2">
        <v>44245</v>
      </c>
      <c r="B86" s="1" t="s">
        <v>0</v>
      </c>
      <c r="C86">
        <v>50</v>
      </c>
      <c r="D86" s="1">
        <f>IF(B86="Expense",D85-C86,D85+C86)</f>
        <v>35119</v>
      </c>
      <c r="H86" s="2"/>
      <c r="I86" s="1"/>
      <c r="K86" s="3"/>
    </row>
    <row r="87" spans="1:11" x14ac:dyDescent="0.3">
      <c r="A87" s="2">
        <v>44245</v>
      </c>
      <c r="B87" s="1" t="s">
        <v>0</v>
      </c>
      <c r="C87">
        <v>30</v>
      </c>
      <c r="D87" s="1">
        <f>IF(B87="Expense",D86-C87,D86+C87)</f>
        <v>35089</v>
      </c>
      <c r="H87" s="2"/>
      <c r="I87" s="1"/>
      <c r="K87" s="3"/>
    </row>
    <row r="88" spans="1:11" x14ac:dyDescent="0.3">
      <c r="A88" s="2">
        <v>44245</v>
      </c>
      <c r="B88" s="1" t="s">
        <v>0</v>
      </c>
      <c r="C88">
        <v>200</v>
      </c>
      <c r="D88" s="1">
        <f>IF(B88="Expense",D87-C88,D87+C88)</f>
        <v>34889</v>
      </c>
      <c r="H88" s="2"/>
      <c r="I88" s="1"/>
      <c r="K88" s="3"/>
    </row>
    <row r="89" spans="1:11" x14ac:dyDescent="0.3">
      <c r="A89" s="2">
        <v>44246</v>
      </c>
      <c r="B89" s="1" t="s">
        <v>0</v>
      </c>
      <c r="C89">
        <v>80</v>
      </c>
      <c r="D89" s="1">
        <f>IF(B89="Expense",D88-C89,D88+C89)</f>
        <v>34809</v>
      </c>
      <c r="H89" s="2"/>
      <c r="I89" s="1"/>
      <c r="K89" s="3"/>
    </row>
    <row r="90" spans="1:11" x14ac:dyDescent="0.3">
      <c r="A90" s="2">
        <v>44249</v>
      </c>
      <c r="B90" s="1" t="s">
        <v>0</v>
      </c>
      <c r="C90">
        <v>30</v>
      </c>
      <c r="D90" s="1">
        <f>IF(B90="Expense",D89-C90,D89+C90)</f>
        <v>34779</v>
      </c>
      <c r="H90" s="2"/>
      <c r="I90" s="1"/>
      <c r="K90" s="3"/>
    </row>
    <row r="91" spans="1:11" x14ac:dyDescent="0.3">
      <c r="A91" s="2">
        <v>44249</v>
      </c>
      <c r="B91" s="1" t="s">
        <v>0</v>
      </c>
      <c r="C91">
        <v>55</v>
      </c>
      <c r="D91" s="1">
        <f>IF(B91="Expense",D90-C91,D90+C91)</f>
        <v>34724</v>
      </c>
      <c r="H91" s="2"/>
      <c r="I91" s="1"/>
      <c r="K91" s="3"/>
    </row>
    <row r="92" spans="1:11" x14ac:dyDescent="0.3">
      <c r="A92" s="2">
        <v>44251</v>
      </c>
      <c r="B92" s="1" t="s">
        <v>0</v>
      </c>
      <c r="C92">
        <v>50</v>
      </c>
      <c r="D92" s="1">
        <f>IF(B92="Expense",D91-C92,D91+C92)</f>
        <v>34674</v>
      </c>
      <c r="H92" s="2"/>
      <c r="I92" s="1"/>
      <c r="K92" s="3"/>
    </row>
    <row r="93" spans="1:11" x14ac:dyDescent="0.3">
      <c r="A93" s="2">
        <v>44251</v>
      </c>
      <c r="B93" s="1" t="s">
        <v>0</v>
      </c>
      <c r="C93">
        <v>100</v>
      </c>
      <c r="D93" s="1">
        <f>IF(B93="Expense",D92-C93,D92+C93)</f>
        <v>34574</v>
      </c>
      <c r="H93" s="2"/>
      <c r="I93" s="1"/>
      <c r="K93" s="3"/>
    </row>
    <row r="94" spans="1:11" x14ac:dyDescent="0.3">
      <c r="A94" s="2">
        <v>44252</v>
      </c>
      <c r="B94" s="1" t="s">
        <v>0</v>
      </c>
      <c r="C94">
        <v>50</v>
      </c>
      <c r="D94" s="1">
        <f>IF(B94="Expense",D93-C94,D93+C94)</f>
        <v>34524</v>
      </c>
      <c r="H94" s="2"/>
      <c r="I94" s="1"/>
      <c r="K94" s="3"/>
    </row>
    <row r="95" spans="1:11" x14ac:dyDescent="0.3">
      <c r="A95" s="2">
        <v>44254</v>
      </c>
      <c r="B95" s="1" t="s">
        <v>0</v>
      </c>
      <c r="C95">
        <v>20</v>
      </c>
      <c r="D95" s="1">
        <f>IF(B95="Expense",D94-C95,D94+C95)</f>
        <v>34504</v>
      </c>
      <c r="H95" s="2"/>
      <c r="I95" s="1"/>
      <c r="K95" s="3"/>
    </row>
    <row r="96" spans="1:11" x14ac:dyDescent="0.3">
      <c r="A96" s="2">
        <v>44254</v>
      </c>
      <c r="B96" s="1" t="s">
        <v>0</v>
      </c>
      <c r="C96">
        <v>30</v>
      </c>
      <c r="D96" s="1">
        <f>IF(B96="Expense",D95-C96,D95+C96)</f>
        <v>34474</v>
      </c>
      <c r="H96" s="2"/>
      <c r="I96" s="1"/>
      <c r="K96" s="3"/>
    </row>
    <row r="97" spans="1:11" x14ac:dyDescent="0.3">
      <c r="A97" s="2">
        <v>44254</v>
      </c>
      <c r="B97" s="1" t="s">
        <v>0</v>
      </c>
      <c r="C97">
        <v>139</v>
      </c>
      <c r="D97" s="1">
        <f>IF(B97="Expense",D96-C97,D96+C97)</f>
        <v>34335</v>
      </c>
      <c r="H97" s="2"/>
      <c r="I97" s="1"/>
      <c r="K97" s="3"/>
    </row>
    <row r="98" spans="1:11" x14ac:dyDescent="0.3">
      <c r="A98" s="2">
        <v>44257</v>
      </c>
      <c r="B98" s="1" t="s">
        <v>1</v>
      </c>
      <c r="C98">
        <v>10000</v>
      </c>
      <c r="D98" s="1">
        <f>IF(B98="Expense",D97-C98,D97+C98)</f>
        <v>44335</v>
      </c>
      <c r="H98" s="2"/>
      <c r="I98" s="1"/>
      <c r="K98" s="3"/>
    </row>
    <row r="99" spans="1:11" x14ac:dyDescent="0.3">
      <c r="A99" s="2">
        <v>44257</v>
      </c>
      <c r="B99" s="1" t="s">
        <v>0</v>
      </c>
      <c r="C99">
        <v>25</v>
      </c>
      <c r="D99" s="1">
        <f>IF(B99="Expense",D98-C99,D98+C99)</f>
        <v>44310</v>
      </c>
      <c r="H99" s="2"/>
      <c r="I99" s="1"/>
      <c r="K99" s="3"/>
    </row>
    <row r="100" spans="1:11" x14ac:dyDescent="0.3">
      <c r="A100" s="2">
        <v>44258</v>
      </c>
      <c r="B100" s="1" t="s">
        <v>0</v>
      </c>
      <c r="C100">
        <v>45</v>
      </c>
      <c r="D100" s="1">
        <f>IF(B100="Expense",D99-C100,D99+C100)</f>
        <v>44265</v>
      </c>
      <c r="H100" s="2"/>
      <c r="I100" s="1"/>
      <c r="K100" s="3"/>
    </row>
    <row r="101" spans="1:11" x14ac:dyDescent="0.3">
      <c r="A101" s="2">
        <v>44258</v>
      </c>
      <c r="B101" s="1" t="s">
        <v>0</v>
      </c>
      <c r="C101">
        <v>30</v>
      </c>
      <c r="D101" s="1">
        <f>IF(B101="Expense",D100-C101,D100+C101)</f>
        <v>44235</v>
      </c>
      <c r="H101" s="2"/>
      <c r="I101" s="1"/>
      <c r="K101" s="3"/>
    </row>
    <row r="102" spans="1:11" x14ac:dyDescent="0.3">
      <c r="A102" s="2">
        <v>44258</v>
      </c>
      <c r="B102" s="1" t="s">
        <v>0</v>
      </c>
      <c r="C102">
        <v>80</v>
      </c>
      <c r="D102" s="1">
        <f>IF(B102="Expense",D101-C102,D101+C102)</f>
        <v>44155</v>
      </c>
      <c r="H102" s="2"/>
      <c r="I102" s="1"/>
      <c r="K102" s="3"/>
    </row>
    <row r="103" spans="1:11" x14ac:dyDescent="0.3">
      <c r="A103" s="2">
        <v>44259</v>
      </c>
      <c r="B103" s="1" t="s">
        <v>0</v>
      </c>
      <c r="C103">
        <v>45</v>
      </c>
      <c r="D103" s="1">
        <f>IF(B103="Expense",D102-C103,D102+C103)</f>
        <v>44110</v>
      </c>
      <c r="H103" s="2"/>
      <c r="I103" s="1"/>
      <c r="K103" s="3"/>
    </row>
    <row r="104" spans="1:11" x14ac:dyDescent="0.3">
      <c r="A104" s="2">
        <v>44259</v>
      </c>
      <c r="B104" s="1" t="s">
        <v>0</v>
      </c>
      <c r="C104">
        <v>100</v>
      </c>
      <c r="D104" s="1">
        <f>IF(B104="Expense",D103-C104,D103+C104)</f>
        <v>44010</v>
      </c>
      <c r="H104" s="2"/>
      <c r="I104" s="1"/>
      <c r="K104" s="3"/>
    </row>
    <row r="105" spans="1:11" x14ac:dyDescent="0.3">
      <c r="A105" s="2">
        <v>44263</v>
      </c>
      <c r="B105" s="1" t="s">
        <v>0</v>
      </c>
      <c r="C105">
        <v>98</v>
      </c>
      <c r="D105" s="1">
        <f>IF(B105="Expense",D104-C105,D104+C105)</f>
        <v>43912</v>
      </c>
      <c r="H105" s="2"/>
      <c r="I105" s="1"/>
      <c r="K105" s="3"/>
    </row>
    <row r="106" spans="1:11" x14ac:dyDescent="0.3">
      <c r="A106" s="2">
        <v>44263</v>
      </c>
      <c r="B106" s="1" t="s">
        <v>0</v>
      </c>
      <c r="C106">
        <v>40</v>
      </c>
      <c r="D106" s="1">
        <f>IF(B106="Expense",D105-C106,D105+C106)</f>
        <v>43872</v>
      </c>
      <c r="H106" s="2"/>
      <c r="I106" s="1"/>
      <c r="K106" s="3"/>
    </row>
    <row r="107" spans="1:11" x14ac:dyDescent="0.3">
      <c r="A107" s="2">
        <v>44266</v>
      </c>
      <c r="B107" s="1" t="s">
        <v>0</v>
      </c>
      <c r="C107">
        <v>85</v>
      </c>
      <c r="D107" s="1">
        <f>IF(B107="Expense",D106-C107,D106+C107)</f>
        <v>43787</v>
      </c>
      <c r="H107" s="2"/>
      <c r="I107" s="1"/>
      <c r="K107" s="3"/>
    </row>
    <row r="108" spans="1:11" x14ac:dyDescent="0.3">
      <c r="A108" s="2">
        <v>44267</v>
      </c>
      <c r="B108" s="1" t="s">
        <v>0</v>
      </c>
      <c r="C108">
        <v>80</v>
      </c>
      <c r="D108" s="1">
        <f>IF(B108="Expense",D107-C108,D107+C108)</f>
        <v>43707</v>
      </c>
      <c r="H108" s="2"/>
      <c r="I108" s="1"/>
      <c r="K108" s="3"/>
    </row>
    <row r="109" spans="1:11" x14ac:dyDescent="0.3">
      <c r="A109" s="2">
        <v>44268</v>
      </c>
      <c r="B109" s="1" t="s">
        <v>0</v>
      </c>
      <c r="C109">
        <v>145</v>
      </c>
      <c r="D109" s="1">
        <f>IF(B109="Expense",D108-C109,D108+C109)</f>
        <v>43562</v>
      </c>
      <c r="H109" s="2"/>
      <c r="I109" s="1"/>
      <c r="K109" s="3"/>
    </row>
    <row r="110" spans="1:11" x14ac:dyDescent="0.3">
      <c r="A110" s="2">
        <v>44268</v>
      </c>
      <c r="B110" s="1" t="s">
        <v>0</v>
      </c>
      <c r="C110">
        <v>413</v>
      </c>
      <c r="D110" s="1">
        <f>IF(B110="Expense",D109-C110,D109+C110)</f>
        <v>43149</v>
      </c>
      <c r="H110" s="2"/>
      <c r="I110" s="1"/>
      <c r="K110" s="3"/>
    </row>
    <row r="111" spans="1:11" x14ac:dyDescent="0.3">
      <c r="A111" s="2">
        <v>44273</v>
      </c>
      <c r="B111" s="1" t="s">
        <v>0</v>
      </c>
      <c r="C111">
        <v>25</v>
      </c>
      <c r="D111" s="1">
        <f>IF(B111="Expense",D110-C111,D110+C111)</f>
        <v>43124</v>
      </c>
      <c r="H111" s="2"/>
      <c r="I111" s="1"/>
      <c r="K111" s="3"/>
    </row>
    <row r="112" spans="1:11" x14ac:dyDescent="0.3">
      <c r="A112" s="2">
        <v>44273</v>
      </c>
      <c r="B112" s="1" t="s">
        <v>0</v>
      </c>
      <c r="C112">
        <v>40</v>
      </c>
      <c r="D112" s="1">
        <f>IF(B112="Expense",D111-C112,D111+C112)</f>
        <v>43084</v>
      </c>
      <c r="H112" s="2"/>
      <c r="I112" s="1"/>
      <c r="K112" s="3"/>
    </row>
    <row r="113" spans="1:11" x14ac:dyDescent="0.3">
      <c r="A113" s="2">
        <v>44277</v>
      </c>
      <c r="B113" s="1" t="s">
        <v>0</v>
      </c>
      <c r="C113">
        <v>25</v>
      </c>
      <c r="D113" s="1">
        <f>IF(B113="Expense",D112-C113,D112+C113)</f>
        <v>43059</v>
      </c>
      <c r="H113" s="2"/>
      <c r="I113" s="1"/>
      <c r="K113" s="3"/>
    </row>
    <row r="114" spans="1:11" x14ac:dyDescent="0.3">
      <c r="A114" s="2">
        <v>44277</v>
      </c>
      <c r="B114" s="1" t="s">
        <v>0</v>
      </c>
      <c r="C114">
        <v>50</v>
      </c>
      <c r="D114" s="1">
        <f>IF(B114="Expense",D113-C114,D113+C114)</f>
        <v>43009</v>
      </c>
      <c r="H114" s="2"/>
      <c r="I114" s="1"/>
      <c r="K114" s="3"/>
    </row>
    <row r="115" spans="1:11" x14ac:dyDescent="0.3">
      <c r="A115" s="2">
        <v>44280</v>
      </c>
      <c r="B115" s="1" t="s">
        <v>0</v>
      </c>
      <c r="C115">
        <v>25</v>
      </c>
      <c r="D115" s="1">
        <f>IF(B115="Expense",D114-C115,D114+C115)</f>
        <v>42984</v>
      </c>
      <c r="H115" s="2"/>
      <c r="I115" s="1"/>
      <c r="K115" s="3"/>
    </row>
    <row r="116" spans="1:11" x14ac:dyDescent="0.3">
      <c r="A116" s="2">
        <v>44280</v>
      </c>
      <c r="B116" s="1" t="s">
        <v>0</v>
      </c>
      <c r="C116">
        <v>60</v>
      </c>
      <c r="D116" s="1">
        <f>IF(B116="Expense",D115-C116,D115+C116)</f>
        <v>42924</v>
      </c>
      <c r="H116" s="2"/>
      <c r="I116" s="1"/>
      <c r="K116" s="3"/>
    </row>
    <row r="117" spans="1:11" x14ac:dyDescent="0.3">
      <c r="A117" s="2">
        <v>44292</v>
      </c>
      <c r="B117" s="1" t="s">
        <v>1</v>
      </c>
      <c r="C117">
        <v>10000</v>
      </c>
      <c r="D117" s="1">
        <f>IF(B117="Expense",D116-C117,D116+C117)</f>
        <v>52924</v>
      </c>
      <c r="H117" s="2"/>
      <c r="I117" s="1"/>
      <c r="K117" s="3"/>
    </row>
    <row r="118" spans="1:11" x14ac:dyDescent="0.3">
      <c r="A118" s="2">
        <v>44292</v>
      </c>
      <c r="B118" s="1" t="s">
        <v>0</v>
      </c>
      <c r="C118">
        <v>25</v>
      </c>
      <c r="D118" s="1">
        <f>IF(B118="Expense",D117-C118,D117+C118)</f>
        <v>52899</v>
      </c>
      <c r="H118" s="2"/>
      <c r="I118" s="1"/>
      <c r="K118" s="3"/>
    </row>
    <row r="119" spans="1:11" x14ac:dyDescent="0.3">
      <c r="A119" s="2">
        <v>44293</v>
      </c>
      <c r="B119" s="1" t="s">
        <v>0</v>
      </c>
      <c r="C119">
        <v>25</v>
      </c>
      <c r="D119" s="1">
        <f>IF(B119="Expense",D118-C119,D118+C119)</f>
        <v>52874</v>
      </c>
      <c r="H119" s="2"/>
      <c r="I119" s="1"/>
      <c r="K119" s="3"/>
    </row>
    <row r="120" spans="1:11" x14ac:dyDescent="0.3">
      <c r="A120" s="2">
        <v>44294</v>
      </c>
      <c r="B120" s="1" t="s">
        <v>0</v>
      </c>
      <c r="C120">
        <v>40</v>
      </c>
      <c r="D120" s="1">
        <f>IF(B120="Expense",D119-C120,D119+C120)</f>
        <v>52834</v>
      </c>
      <c r="H120" s="2"/>
      <c r="I120" s="1"/>
      <c r="K120" s="3"/>
    </row>
    <row r="121" spans="1:11" x14ac:dyDescent="0.3">
      <c r="A121" s="2">
        <v>44294</v>
      </c>
      <c r="B121" s="1" t="s">
        <v>0</v>
      </c>
      <c r="C121">
        <v>60</v>
      </c>
      <c r="D121" s="1">
        <f>IF(B121="Expense",D120-C121,D120+C121)</f>
        <v>52774</v>
      </c>
      <c r="H121" s="2"/>
      <c r="I121" s="1"/>
      <c r="K121" s="3"/>
    </row>
    <row r="122" spans="1:11" x14ac:dyDescent="0.3">
      <c r="A122" s="2">
        <v>44298</v>
      </c>
      <c r="B122" s="1" t="s">
        <v>0</v>
      </c>
      <c r="C122">
        <v>40</v>
      </c>
      <c r="D122" s="1">
        <f>IF(B122="Expense",D121-C122,D121+C122)</f>
        <v>52734</v>
      </c>
      <c r="H122" s="2"/>
      <c r="I122" s="1"/>
      <c r="K122" s="3"/>
    </row>
    <row r="123" spans="1:11" x14ac:dyDescent="0.3">
      <c r="A123" s="2">
        <v>44298</v>
      </c>
      <c r="B123" s="1" t="s">
        <v>0</v>
      </c>
      <c r="C123">
        <v>40</v>
      </c>
      <c r="D123" s="1">
        <f>IF(B123="Expense",D122-C123,D122+C123)</f>
        <v>52694</v>
      </c>
      <c r="H123" s="2"/>
      <c r="I123" s="1"/>
      <c r="K123" s="3"/>
    </row>
    <row r="124" spans="1:11" x14ac:dyDescent="0.3">
      <c r="A124" s="2">
        <v>44299</v>
      </c>
      <c r="B124" s="1" t="s">
        <v>0</v>
      </c>
      <c r="C124">
        <v>40</v>
      </c>
      <c r="D124" s="1">
        <f>IF(B124="Expense",D123-C124,D123+C124)</f>
        <v>52654</v>
      </c>
      <c r="H124" s="2"/>
      <c r="I124" s="1"/>
      <c r="K124" s="3"/>
    </row>
    <row r="125" spans="1:11" x14ac:dyDescent="0.3">
      <c r="A125" s="2">
        <v>44300</v>
      </c>
      <c r="B125" s="1" t="s">
        <v>0</v>
      </c>
      <c r="C125">
        <v>25</v>
      </c>
      <c r="D125" s="1">
        <f>IF(B125="Expense",D124-C125,D124+C125)</f>
        <v>52629</v>
      </c>
      <c r="H125" s="2"/>
      <c r="I125" s="1"/>
      <c r="K125" s="3"/>
    </row>
    <row r="126" spans="1:11" x14ac:dyDescent="0.3">
      <c r="A126" s="2">
        <v>44305</v>
      </c>
      <c r="B126" s="1" t="s">
        <v>0</v>
      </c>
      <c r="C126">
        <v>30</v>
      </c>
      <c r="D126" s="1">
        <f>IF(B126="Expense",D125-C126,D125+C126)</f>
        <v>52599</v>
      </c>
      <c r="H126" s="2"/>
      <c r="I126" s="1"/>
      <c r="K126" s="3"/>
    </row>
    <row r="127" spans="1:11" x14ac:dyDescent="0.3">
      <c r="A127" s="2">
        <v>44305</v>
      </c>
      <c r="B127" s="1" t="s">
        <v>0</v>
      </c>
      <c r="C127">
        <v>55</v>
      </c>
      <c r="D127" s="1">
        <f>IF(B127="Expense",D126-C127,D126+C127)</f>
        <v>52544</v>
      </c>
      <c r="H127" s="2"/>
      <c r="I127" s="1"/>
      <c r="K127" s="3"/>
    </row>
    <row r="128" spans="1:11" x14ac:dyDescent="0.3">
      <c r="A128" s="2">
        <v>44307</v>
      </c>
      <c r="B128" s="1" t="s">
        <v>0</v>
      </c>
      <c r="C128">
        <v>25</v>
      </c>
      <c r="D128" s="1">
        <f>IF(B128="Expense",D127-C128,D127+C128)</f>
        <v>52519</v>
      </c>
      <c r="H128" s="2"/>
      <c r="I128" s="1"/>
      <c r="K128" s="3"/>
    </row>
    <row r="129" spans="1:11" x14ac:dyDescent="0.3">
      <c r="A129" s="2">
        <v>44308</v>
      </c>
      <c r="B129" s="1" t="s">
        <v>0</v>
      </c>
      <c r="C129">
        <v>100</v>
      </c>
      <c r="D129" s="1">
        <f>IF(B129="Expense",D128-C129,D128+C129)</f>
        <v>52419</v>
      </c>
      <c r="H129" s="2"/>
      <c r="I129" s="1"/>
      <c r="K129" s="3"/>
    </row>
    <row r="130" spans="1:11" x14ac:dyDescent="0.3">
      <c r="A130" s="2">
        <v>44308</v>
      </c>
      <c r="B130" s="1" t="s">
        <v>0</v>
      </c>
      <c r="C130">
        <v>55</v>
      </c>
      <c r="D130" s="1">
        <f>IF(B130="Expense",D129-C130,D129+C130)</f>
        <v>52364</v>
      </c>
      <c r="H130" s="2"/>
      <c r="I130" s="1"/>
      <c r="K130" s="3"/>
    </row>
    <row r="131" spans="1:11" x14ac:dyDescent="0.3">
      <c r="A131" s="2">
        <v>44308</v>
      </c>
      <c r="B131" s="1" t="s">
        <v>0</v>
      </c>
      <c r="C131">
        <v>100</v>
      </c>
      <c r="D131" s="1">
        <f>IF(B131="Expense",D130-C131,D130+C131)</f>
        <v>52264</v>
      </c>
      <c r="H131" s="2"/>
      <c r="I131" s="1"/>
      <c r="K131" s="3"/>
    </row>
    <row r="132" spans="1:11" x14ac:dyDescent="0.3">
      <c r="A132" s="2">
        <v>44315</v>
      </c>
      <c r="B132" s="1" t="s">
        <v>0</v>
      </c>
      <c r="C132">
        <v>127</v>
      </c>
      <c r="D132" s="1">
        <f>IF(B132="Expense",D131-C132,D131+C132)</f>
        <v>52137</v>
      </c>
      <c r="H132" s="2"/>
      <c r="I132" s="1"/>
      <c r="K132" s="3"/>
    </row>
    <row r="133" spans="1:11" x14ac:dyDescent="0.3">
      <c r="A133" s="2">
        <v>44319</v>
      </c>
      <c r="B133" s="1" t="s">
        <v>0</v>
      </c>
      <c r="C133">
        <v>90</v>
      </c>
      <c r="D133" s="1">
        <f>IF(B133="Expense",D132-C133,D132+C133)</f>
        <v>52047</v>
      </c>
      <c r="H133" s="2"/>
      <c r="I133" s="1"/>
      <c r="K133" s="3"/>
    </row>
    <row r="134" spans="1:11" x14ac:dyDescent="0.3">
      <c r="A134" s="2">
        <v>44319</v>
      </c>
      <c r="B134" s="1" t="s">
        <v>0</v>
      </c>
      <c r="C134">
        <v>35</v>
      </c>
      <c r="D134" s="1">
        <f>IF(B134="Expense",D133-C134,D133+C134)</f>
        <v>52012</v>
      </c>
      <c r="H134" s="2"/>
      <c r="I134" s="1"/>
      <c r="K134" s="3"/>
    </row>
    <row r="135" spans="1:11" x14ac:dyDescent="0.3">
      <c r="A135" s="2">
        <v>44322</v>
      </c>
      <c r="B135" s="1" t="s">
        <v>0</v>
      </c>
      <c r="C135">
        <v>90</v>
      </c>
      <c r="D135" s="1">
        <f>IF(B135="Expense",D134-C135,D134+C135)</f>
        <v>51922</v>
      </c>
      <c r="H135" s="2"/>
      <c r="I135" s="1"/>
      <c r="K135" s="3"/>
    </row>
    <row r="136" spans="1:11" x14ac:dyDescent="0.3">
      <c r="A136" s="2">
        <v>44322</v>
      </c>
      <c r="B136" s="1" t="s">
        <v>0</v>
      </c>
      <c r="C136">
        <v>25</v>
      </c>
      <c r="D136" s="1">
        <f>IF(B136="Expense",D135-C136,D135+C136)</f>
        <v>51897</v>
      </c>
      <c r="H136" s="2"/>
      <c r="I136" s="1"/>
      <c r="K136" s="3"/>
    </row>
    <row r="137" spans="1:11" x14ac:dyDescent="0.3">
      <c r="A137" s="2">
        <v>44326</v>
      </c>
      <c r="B137" s="1" t="s">
        <v>0</v>
      </c>
      <c r="C137">
        <v>80</v>
      </c>
      <c r="D137" s="1">
        <f>IF(B137="Expense",D136-C137,D136+C137)</f>
        <v>51817</v>
      </c>
      <c r="H137" s="2"/>
      <c r="I137" s="1"/>
      <c r="K137" s="3"/>
    </row>
    <row r="138" spans="1:11" x14ac:dyDescent="0.3">
      <c r="A138" s="2">
        <v>44326</v>
      </c>
      <c r="B138" s="1" t="s">
        <v>0</v>
      </c>
      <c r="C138">
        <v>25</v>
      </c>
      <c r="D138" s="1">
        <f>IF(B138="Expense",D137-C138,D137+C138)</f>
        <v>51792</v>
      </c>
      <c r="H138" s="2"/>
      <c r="I138" s="1"/>
      <c r="K138" s="3"/>
    </row>
    <row r="139" spans="1:11" x14ac:dyDescent="0.3">
      <c r="A139" s="2">
        <v>44328</v>
      </c>
      <c r="B139" s="1" t="s">
        <v>0</v>
      </c>
      <c r="C139">
        <v>25</v>
      </c>
      <c r="D139" s="1">
        <f>IF(B139="Expense",D138-C139,D138+C139)</f>
        <v>51767</v>
      </c>
      <c r="H139" s="2"/>
      <c r="I139" s="1"/>
      <c r="K139" s="3"/>
    </row>
    <row r="140" spans="1:11" x14ac:dyDescent="0.3">
      <c r="A140" s="2">
        <v>44328</v>
      </c>
      <c r="B140" s="1" t="s">
        <v>0</v>
      </c>
      <c r="C140">
        <v>90</v>
      </c>
      <c r="D140" s="1">
        <f>IF(B140="Expense",D139-C140,D139+C140)</f>
        <v>51677</v>
      </c>
      <c r="H140" s="2"/>
      <c r="I140" s="1"/>
      <c r="K140" s="3"/>
    </row>
    <row r="141" spans="1:11" x14ac:dyDescent="0.3">
      <c r="A141" s="2">
        <v>44425</v>
      </c>
      <c r="B141" s="1" t="s">
        <v>0</v>
      </c>
      <c r="C141">
        <v>100</v>
      </c>
      <c r="D141" s="1">
        <f>IF(B141="Expense",D140-C141,D140+C141)</f>
        <v>51577</v>
      </c>
      <c r="H141" s="2"/>
      <c r="I141" s="1"/>
      <c r="K141" s="3"/>
    </row>
    <row r="142" spans="1:11" x14ac:dyDescent="0.3">
      <c r="A142" s="2">
        <v>44425</v>
      </c>
      <c r="B142" s="1" t="s">
        <v>0</v>
      </c>
      <c r="C142">
        <v>64</v>
      </c>
      <c r="D142" s="1">
        <f>IF(B142="Expense",D141-C142,D141+C142)</f>
        <v>51513</v>
      </c>
      <c r="H142" s="2"/>
      <c r="I142" s="1"/>
      <c r="K142" s="3"/>
    </row>
    <row r="143" spans="1:11" x14ac:dyDescent="0.3">
      <c r="A143" s="2">
        <v>44425</v>
      </c>
      <c r="B143" s="1" t="s">
        <v>0</v>
      </c>
      <c r="C143">
        <v>55</v>
      </c>
      <c r="D143" s="1">
        <f>IF(B143="Expense",D142-C143,D142+C143)</f>
        <v>51458</v>
      </c>
      <c r="H143" s="2"/>
      <c r="I143" s="1"/>
      <c r="K143" s="3"/>
    </row>
    <row r="144" spans="1:11" x14ac:dyDescent="0.3">
      <c r="A144" s="2">
        <v>44460</v>
      </c>
      <c r="B144" s="1" t="s">
        <v>1</v>
      </c>
      <c r="C144">
        <v>10000</v>
      </c>
      <c r="D144" s="1">
        <f>IF(B144="Expense",D143-C144,D143+C144)</f>
        <v>61458</v>
      </c>
      <c r="H144" s="2"/>
      <c r="I144" s="1"/>
      <c r="K144" s="3"/>
    </row>
    <row r="145" spans="1:11" x14ac:dyDescent="0.3">
      <c r="A145" s="2">
        <v>44460</v>
      </c>
      <c r="B145" s="1" t="s">
        <v>0</v>
      </c>
      <c r="C145">
        <v>20</v>
      </c>
      <c r="D145" s="1">
        <f>IF(B145="Expense",D144-C145,D144+C145)</f>
        <v>61438</v>
      </c>
      <c r="H145" s="2"/>
      <c r="I145" s="1"/>
      <c r="K145" s="3"/>
    </row>
    <row r="146" spans="1:11" x14ac:dyDescent="0.3">
      <c r="A146" s="2">
        <v>44460</v>
      </c>
      <c r="B146" s="1" t="s">
        <v>0</v>
      </c>
      <c r="C146">
        <v>10</v>
      </c>
      <c r="D146" s="1">
        <f>IF(B146="Expense",D145-C146,D145+C146)</f>
        <v>61428</v>
      </c>
      <c r="H146" s="2"/>
      <c r="I146" s="1"/>
      <c r="K146" s="3"/>
    </row>
    <row r="147" spans="1:11" x14ac:dyDescent="0.3">
      <c r="A147" s="2">
        <v>44460</v>
      </c>
      <c r="B147" s="1" t="s">
        <v>0</v>
      </c>
      <c r="C147">
        <v>80</v>
      </c>
      <c r="D147" s="1">
        <f>IF(B147="Expense",D146-C147,D146+C147)</f>
        <v>61348</v>
      </c>
      <c r="H147" s="2"/>
      <c r="I147" s="1"/>
      <c r="K147" s="3"/>
    </row>
    <row r="148" spans="1:11" x14ac:dyDescent="0.3">
      <c r="A148" s="2">
        <v>44460</v>
      </c>
      <c r="B148" s="1" t="s">
        <v>0</v>
      </c>
      <c r="C148">
        <v>30</v>
      </c>
      <c r="D148" s="1">
        <f>IF(B148="Expense",D147-C148,D147+C148)</f>
        <v>61318</v>
      </c>
      <c r="H148" s="2"/>
      <c r="I148" s="1"/>
      <c r="K148" s="3"/>
    </row>
    <row r="149" spans="1:11" x14ac:dyDescent="0.3">
      <c r="A149" s="2">
        <v>44460</v>
      </c>
      <c r="B149" s="1" t="s">
        <v>0</v>
      </c>
      <c r="C149">
        <v>120</v>
      </c>
      <c r="D149" s="1">
        <f>IF(B149="Expense",D148-C149,D148+C149)</f>
        <v>61198</v>
      </c>
      <c r="H149" s="2"/>
      <c r="I149" s="1"/>
      <c r="K149" s="3"/>
    </row>
    <row r="150" spans="1:11" x14ac:dyDescent="0.3">
      <c r="A150" s="2">
        <v>44460</v>
      </c>
      <c r="B150" s="1" t="s">
        <v>0</v>
      </c>
      <c r="C150">
        <v>15</v>
      </c>
      <c r="D150" s="1">
        <f>IF(B150="Expense",D149-C150,D149+C150)</f>
        <v>61183</v>
      </c>
      <c r="H150" s="2"/>
      <c r="I150" s="1"/>
      <c r="K150" s="3"/>
    </row>
    <row r="151" spans="1:11" x14ac:dyDescent="0.3">
      <c r="A151" s="2">
        <v>44461</v>
      </c>
      <c r="B151" s="1" t="s">
        <v>0</v>
      </c>
      <c r="C151">
        <v>90</v>
      </c>
      <c r="D151" s="1">
        <f>IF(B151="Expense",D150-C151,D150+C151)</f>
        <v>61093</v>
      </c>
      <c r="H151" s="2"/>
      <c r="I151" s="1"/>
      <c r="K151" s="3"/>
    </row>
    <row r="152" spans="1:11" x14ac:dyDescent="0.3">
      <c r="A152" s="2">
        <v>44461</v>
      </c>
      <c r="B152" s="1" t="s">
        <v>0</v>
      </c>
      <c r="C152">
        <v>615</v>
      </c>
      <c r="D152" s="1">
        <f>IF(B152="Expense",D151-C152,D151+C152)</f>
        <v>60478</v>
      </c>
      <c r="H152" s="2"/>
      <c r="I152" s="1"/>
      <c r="K152" s="3"/>
    </row>
    <row r="153" spans="1:11" x14ac:dyDescent="0.3">
      <c r="A153" s="2">
        <v>44461</v>
      </c>
      <c r="B153" s="1" t="s">
        <v>0</v>
      </c>
      <c r="C153">
        <v>55</v>
      </c>
      <c r="D153" s="1">
        <f>IF(B153="Expense",D152-C153,D152+C153)</f>
        <v>60423</v>
      </c>
      <c r="H153" s="2"/>
      <c r="I153" s="1"/>
      <c r="K153" s="3"/>
    </row>
    <row r="154" spans="1:11" x14ac:dyDescent="0.3">
      <c r="A154" s="2">
        <v>44461</v>
      </c>
      <c r="B154" s="1" t="s">
        <v>0</v>
      </c>
      <c r="C154">
        <v>25</v>
      </c>
      <c r="D154" s="1">
        <f>IF(B154="Expense",D153-C154,D153+C154)</f>
        <v>60398</v>
      </c>
      <c r="H154" s="2"/>
      <c r="I154" s="1"/>
      <c r="K154" s="3"/>
    </row>
    <row r="155" spans="1:11" x14ac:dyDescent="0.3">
      <c r="A155" s="2">
        <v>44461</v>
      </c>
      <c r="B155" s="1" t="s">
        <v>0</v>
      </c>
      <c r="C155">
        <v>70</v>
      </c>
      <c r="D155" s="1">
        <f>IF(B155="Expense",D154-C155,D154+C155)</f>
        <v>60328</v>
      </c>
      <c r="H155" s="2"/>
      <c r="I155" s="1"/>
      <c r="K155" s="3"/>
    </row>
    <row r="156" spans="1:11" x14ac:dyDescent="0.3">
      <c r="A156" s="2">
        <v>44462</v>
      </c>
      <c r="B156" s="1" t="s">
        <v>0</v>
      </c>
      <c r="C156">
        <v>70</v>
      </c>
      <c r="D156" s="1">
        <f>IF(B156="Expense",D155-C156,D155+C156)</f>
        <v>60258</v>
      </c>
      <c r="H156" s="2"/>
      <c r="I156" s="1"/>
      <c r="K156" s="3"/>
    </row>
    <row r="157" spans="1:11" x14ac:dyDescent="0.3">
      <c r="A157" s="2">
        <v>44462</v>
      </c>
      <c r="B157" s="1" t="s">
        <v>0</v>
      </c>
      <c r="C157">
        <v>25</v>
      </c>
      <c r="D157" s="1">
        <f>IF(B157="Expense",D156-C157,D156+C157)</f>
        <v>60233</v>
      </c>
      <c r="H157" s="2"/>
      <c r="I157" s="1"/>
      <c r="K157" s="3"/>
    </row>
    <row r="158" spans="1:11" x14ac:dyDescent="0.3">
      <c r="A158" s="2">
        <v>44462</v>
      </c>
      <c r="B158" s="1" t="s">
        <v>0</v>
      </c>
      <c r="C158">
        <v>780</v>
      </c>
      <c r="D158" s="1">
        <f>IF(B158="Expense",D157-C158,D157+C158)</f>
        <v>59453</v>
      </c>
      <c r="H158" s="2"/>
      <c r="I158" s="1"/>
      <c r="K158" s="3"/>
    </row>
    <row r="159" spans="1:11" x14ac:dyDescent="0.3">
      <c r="A159" s="2">
        <v>44462</v>
      </c>
      <c r="B159" s="1" t="s">
        <v>0</v>
      </c>
      <c r="C159">
        <v>20</v>
      </c>
      <c r="D159" s="1">
        <f>IF(B159="Expense",D158-C159,D158+C159)</f>
        <v>59433</v>
      </c>
      <c r="H159" s="2"/>
      <c r="I159" s="1"/>
      <c r="K159" s="3"/>
    </row>
    <row r="160" spans="1:11" x14ac:dyDescent="0.3">
      <c r="A160" s="2">
        <v>44463</v>
      </c>
      <c r="B160" s="1" t="s">
        <v>0</v>
      </c>
      <c r="C160">
        <v>15</v>
      </c>
      <c r="D160" s="1">
        <f>IF(B160="Expense",D159-C160,D159+C160)</f>
        <v>59418</v>
      </c>
      <c r="H160" s="2"/>
      <c r="I160" s="1"/>
      <c r="K160" s="3"/>
    </row>
    <row r="161" spans="1:11" x14ac:dyDescent="0.3">
      <c r="A161" s="2">
        <v>44463</v>
      </c>
      <c r="B161" s="1" t="s">
        <v>0</v>
      </c>
      <c r="C161">
        <v>20</v>
      </c>
      <c r="D161" s="1">
        <f>IF(B161="Expense",D160-C161,D160+C161)</f>
        <v>59398</v>
      </c>
      <c r="H161" s="2"/>
      <c r="I161" s="1"/>
      <c r="K161" s="3"/>
    </row>
    <row r="162" spans="1:11" x14ac:dyDescent="0.3">
      <c r="A162" s="2">
        <v>44463</v>
      </c>
      <c r="B162" s="1" t="s">
        <v>0</v>
      </c>
      <c r="C162">
        <v>40</v>
      </c>
      <c r="D162" s="1">
        <f>IF(B162="Expense",D161-C162,D161+C162)</f>
        <v>59358</v>
      </c>
      <c r="H162" s="2"/>
      <c r="I162" s="1"/>
      <c r="K162" s="3"/>
    </row>
    <row r="163" spans="1:11" x14ac:dyDescent="0.3">
      <c r="A163" s="2">
        <v>44466</v>
      </c>
      <c r="B163" s="1" t="s">
        <v>0</v>
      </c>
      <c r="C163">
        <v>1800</v>
      </c>
      <c r="D163" s="1">
        <f>IF(B163="Expense",D162-C163,D162+C163)</f>
        <v>57558</v>
      </c>
      <c r="H163" s="2"/>
      <c r="I163" s="1"/>
      <c r="K163" s="3"/>
    </row>
    <row r="164" spans="1:11" x14ac:dyDescent="0.3">
      <c r="A164" s="2">
        <v>44466</v>
      </c>
      <c r="B164" s="1" t="s">
        <v>0</v>
      </c>
      <c r="C164">
        <v>25</v>
      </c>
      <c r="D164" s="1">
        <f>IF(B164="Expense",D163-C164,D163+C164)</f>
        <v>57533</v>
      </c>
      <c r="H164" s="2"/>
      <c r="I164" s="1"/>
      <c r="K164" s="3"/>
    </row>
    <row r="165" spans="1:11" x14ac:dyDescent="0.3">
      <c r="A165" s="2">
        <v>44466</v>
      </c>
      <c r="B165" s="1" t="s">
        <v>0</v>
      </c>
      <c r="C165">
        <v>21</v>
      </c>
      <c r="D165" s="1">
        <f>IF(B165="Expense",D164-C165,D164+C165)</f>
        <v>57512</v>
      </c>
      <c r="H165" s="2"/>
      <c r="I165" s="1"/>
      <c r="K165" s="3"/>
    </row>
    <row r="166" spans="1:11" x14ac:dyDescent="0.3">
      <c r="A166" s="2">
        <v>44467</v>
      </c>
      <c r="B166" s="1" t="s">
        <v>0</v>
      </c>
      <c r="C166">
        <v>60</v>
      </c>
      <c r="D166" s="1">
        <f>IF(B166="Expense",D165-C166,D165+C166)</f>
        <v>57452</v>
      </c>
      <c r="H166" s="2"/>
      <c r="I166" s="1"/>
      <c r="K166" s="3"/>
    </row>
    <row r="167" spans="1:11" x14ac:dyDescent="0.3">
      <c r="A167" s="2">
        <v>44467</v>
      </c>
      <c r="B167" s="1" t="s">
        <v>0</v>
      </c>
      <c r="C167">
        <v>80</v>
      </c>
      <c r="D167" s="1">
        <f>IF(B167="Expense",D166-C167,D166+C167)</f>
        <v>57372</v>
      </c>
      <c r="H167" s="2"/>
      <c r="I167" s="1"/>
      <c r="K167" s="3"/>
    </row>
    <row r="168" spans="1:11" x14ac:dyDescent="0.3">
      <c r="A168" s="2">
        <v>44467</v>
      </c>
      <c r="B168" s="1" t="s">
        <v>0</v>
      </c>
      <c r="C168">
        <v>49</v>
      </c>
      <c r="D168" s="1">
        <f>IF(B168="Expense",D167-C168,D167+C168)</f>
        <v>57323</v>
      </c>
      <c r="H168" s="2"/>
      <c r="I168" s="1"/>
      <c r="K168" s="3"/>
    </row>
    <row r="169" spans="1:11" x14ac:dyDescent="0.3">
      <c r="A169" s="2">
        <v>44467</v>
      </c>
      <c r="B169" s="1" t="s">
        <v>0</v>
      </c>
      <c r="C169">
        <v>200</v>
      </c>
      <c r="D169" s="1">
        <f>IF(B169="Expense",D168-C169,D168+C169)</f>
        <v>57123</v>
      </c>
      <c r="H169" s="2"/>
      <c r="I169" s="1"/>
      <c r="K169" s="3"/>
    </row>
    <row r="170" spans="1:11" x14ac:dyDescent="0.3">
      <c r="A170" s="2">
        <v>44467</v>
      </c>
      <c r="B170" s="1" t="s">
        <v>0</v>
      </c>
      <c r="C170">
        <v>90</v>
      </c>
      <c r="D170" s="1">
        <f>IF(B170="Expense",D169-C170,D169+C170)</f>
        <v>57033</v>
      </c>
      <c r="H170" s="2"/>
      <c r="I170" s="1"/>
      <c r="K170" s="3"/>
    </row>
    <row r="171" spans="1:11" x14ac:dyDescent="0.3">
      <c r="A171" s="2">
        <v>44467</v>
      </c>
      <c r="B171" s="1" t="s">
        <v>0</v>
      </c>
      <c r="C171">
        <v>1386</v>
      </c>
      <c r="D171" s="1">
        <f>IF(B171="Expense",D170-C171,D170+C171)</f>
        <v>55647</v>
      </c>
      <c r="H171" s="2"/>
      <c r="I171" s="1"/>
      <c r="K171" s="3"/>
    </row>
    <row r="172" spans="1:11" x14ac:dyDescent="0.3">
      <c r="A172" s="2">
        <v>44467</v>
      </c>
      <c r="B172" s="1" t="s">
        <v>0</v>
      </c>
      <c r="C172">
        <v>60</v>
      </c>
      <c r="D172" s="1">
        <f>IF(B172="Expense",D171-C172,D171+C172)</f>
        <v>55587</v>
      </c>
      <c r="H172" s="2"/>
      <c r="I172" s="1"/>
      <c r="K172" s="3"/>
    </row>
    <row r="173" spans="1:11" x14ac:dyDescent="0.3">
      <c r="A173" s="2">
        <v>44467</v>
      </c>
      <c r="B173" s="1" t="s">
        <v>0</v>
      </c>
      <c r="C173">
        <v>60</v>
      </c>
      <c r="D173" s="1">
        <f>IF(B173="Expense",D172-C173,D172+C173)</f>
        <v>55527</v>
      </c>
      <c r="H173" s="2"/>
      <c r="I173" s="1"/>
      <c r="K173" s="3"/>
    </row>
    <row r="174" spans="1:11" x14ac:dyDescent="0.3">
      <c r="A174" s="2">
        <v>44467</v>
      </c>
      <c r="B174" s="1" t="s">
        <v>0</v>
      </c>
      <c r="C174">
        <v>3</v>
      </c>
      <c r="D174" s="1">
        <f>IF(B174="Expense",D173-C174,D173+C174)</f>
        <v>55524</v>
      </c>
      <c r="H174" s="2"/>
      <c r="I174" s="1"/>
      <c r="K174" s="3"/>
    </row>
    <row r="175" spans="1:11" x14ac:dyDescent="0.3">
      <c r="A175" s="2">
        <v>44468</v>
      </c>
      <c r="B175" s="1" t="s">
        <v>0</v>
      </c>
      <c r="C175">
        <v>30</v>
      </c>
      <c r="D175" s="1">
        <f>IF(B175="Expense",D174-C175,D174+C175)</f>
        <v>55494</v>
      </c>
      <c r="H175" s="2"/>
      <c r="I175" s="1"/>
      <c r="K175" s="3"/>
    </row>
    <row r="176" spans="1:11" x14ac:dyDescent="0.3">
      <c r="A176" s="2">
        <v>44468</v>
      </c>
      <c r="B176" s="1" t="s">
        <v>0</v>
      </c>
      <c r="C176">
        <v>85</v>
      </c>
      <c r="D176" s="1">
        <f>IF(B176="Expense",D175-C176,D175+C176)</f>
        <v>55409</v>
      </c>
      <c r="H176" s="2"/>
      <c r="I176" s="1"/>
      <c r="K176" s="3"/>
    </row>
    <row r="177" spans="1:11" x14ac:dyDescent="0.3">
      <c r="A177" s="2">
        <v>44468</v>
      </c>
      <c r="B177" s="1" t="s">
        <v>0</v>
      </c>
      <c r="C177">
        <v>70</v>
      </c>
      <c r="D177" s="1">
        <f>IF(B177="Expense",D176-C177,D176+C177)</f>
        <v>55339</v>
      </c>
      <c r="H177" s="2"/>
      <c r="I177" s="1"/>
      <c r="K177" s="3"/>
    </row>
    <row r="178" spans="1:11" x14ac:dyDescent="0.3">
      <c r="A178" s="2">
        <v>44469</v>
      </c>
      <c r="B178" s="1" t="s">
        <v>0</v>
      </c>
      <c r="C178">
        <v>30</v>
      </c>
      <c r="D178" s="1">
        <f>IF(B178="Expense",D177-C178,D177+C178)</f>
        <v>55309</v>
      </c>
      <c r="H178" s="2"/>
      <c r="I178" s="1"/>
      <c r="K178" s="3"/>
    </row>
    <row r="179" spans="1:11" x14ac:dyDescent="0.3">
      <c r="A179" s="2">
        <v>44469</v>
      </c>
      <c r="B179" s="1" t="s">
        <v>0</v>
      </c>
      <c r="C179">
        <v>90</v>
      </c>
      <c r="D179" s="1">
        <f>IF(B179="Expense",D178-C179,D178+C179)</f>
        <v>55219</v>
      </c>
      <c r="H179" s="2"/>
      <c r="I179" s="1"/>
      <c r="K179" s="3"/>
    </row>
    <row r="180" spans="1:11" x14ac:dyDescent="0.3">
      <c r="A180" s="2">
        <v>44469</v>
      </c>
      <c r="B180" s="1" t="s">
        <v>0</v>
      </c>
      <c r="C180">
        <v>149</v>
      </c>
      <c r="D180" s="1">
        <f>IF(B180="Expense",D179-C180,D179+C180)</f>
        <v>55070</v>
      </c>
      <c r="H180" s="2"/>
      <c r="I180" s="1"/>
      <c r="K180" s="3"/>
    </row>
    <row r="181" spans="1:11" x14ac:dyDescent="0.3">
      <c r="A181" s="2">
        <v>44470</v>
      </c>
      <c r="B181" s="1" t="s">
        <v>1</v>
      </c>
      <c r="C181">
        <v>10000</v>
      </c>
      <c r="D181" s="1">
        <f>IF(B181="Expense",D180-C181,D180+C181)</f>
        <v>65070</v>
      </c>
      <c r="H181" s="2"/>
      <c r="I181" s="1"/>
      <c r="K181" s="3"/>
    </row>
    <row r="182" spans="1:11" x14ac:dyDescent="0.3">
      <c r="A182" s="2">
        <v>44470</v>
      </c>
      <c r="B182" s="1" t="s">
        <v>0</v>
      </c>
      <c r="C182">
        <v>80</v>
      </c>
      <c r="D182" s="1">
        <f>IF(B182="Expense",D181-C182,D181+C182)</f>
        <v>64990</v>
      </c>
      <c r="H182" s="2"/>
      <c r="I182" s="1"/>
      <c r="K182" s="3"/>
    </row>
    <row r="183" spans="1:11" x14ac:dyDescent="0.3">
      <c r="A183" s="2">
        <v>44470</v>
      </c>
      <c r="B183" s="1" t="s">
        <v>0</v>
      </c>
      <c r="C183">
        <v>70</v>
      </c>
      <c r="D183" s="1">
        <f>IF(B183="Expense",D182-C183,D182+C183)</f>
        <v>64920</v>
      </c>
      <c r="H183" s="2"/>
      <c r="I183" s="1"/>
      <c r="K183" s="3"/>
    </row>
    <row r="184" spans="1:11" x14ac:dyDescent="0.3">
      <c r="A184" s="2">
        <v>44471</v>
      </c>
      <c r="B184" s="1" t="s">
        <v>0</v>
      </c>
      <c r="C184">
        <v>100</v>
      </c>
      <c r="D184" s="1">
        <f>IF(B184="Expense",D183-C184,D183+C184)</f>
        <v>64820</v>
      </c>
      <c r="H184" s="2"/>
      <c r="I184" s="1"/>
      <c r="K184" s="3"/>
    </row>
    <row r="185" spans="1:11" x14ac:dyDescent="0.3">
      <c r="A185" s="2">
        <v>44471</v>
      </c>
      <c r="B185" s="1" t="s">
        <v>0</v>
      </c>
      <c r="C185">
        <v>30</v>
      </c>
      <c r="D185" s="1">
        <f>IF(B185="Expense",D184-C185,D184+C185)</f>
        <v>64790</v>
      </c>
      <c r="H185" s="2"/>
      <c r="I185" s="1"/>
      <c r="K185" s="3"/>
    </row>
    <row r="186" spans="1:11" x14ac:dyDescent="0.3">
      <c r="A186" s="2">
        <v>44471</v>
      </c>
      <c r="B186" s="1" t="s">
        <v>0</v>
      </c>
      <c r="C186">
        <v>140</v>
      </c>
      <c r="D186" s="1">
        <f>IF(B186="Expense",D185-C186,D185+C186)</f>
        <v>64650</v>
      </c>
      <c r="H186" s="2"/>
      <c r="I186" s="1"/>
      <c r="K186" s="3"/>
    </row>
    <row r="187" spans="1:11" x14ac:dyDescent="0.3">
      <c r="A187" s="2">
        <v>44472</v>
      </c>
      <c r="B187" s="1" t="s">
        <v>0</v>
      </c>
      <c r="C187">
        <v>115</v>
      </c>
      <c r="D187" s="1">
        <f>IF(B187="Expense",D186-C187,D186+C187)</f>
        <v>64535</v>
      </c>
      <c r="H187" s="2"/>
      <c r="I187" s="1"/>
      <c r="K187" s="3"/>
    </row>
    <row r="188" spans="1:11" x14ac:dyDescent="0.3">
      <c r="A188" s="2">
        <v>44472</v>
      </c>
      <c r="B188" s="1" t="s">
        <v>0</v>
      </c>
      <c r="C188">
        <v>90</v>
      </c>
      <c r="D188" s="1">
        <f>IF(B188="Expense",D187-C188,D187+C188)</f>
        <v>64445</v>
      </c>
      <c r="H188" s="2"/>
      <c r="I188" s="1"/>
      <c r="K188" s="3"/>
    </row>
    <row r="189" spans="1:11" x14ac:dyDescent="0.3">
      <c r="A189" s="2">
        <v>44472</v>
      </c>
      <c r="B189" s="1" t="s">
        <v>0</v>
      </c>
      <c r="C189">
        <v>45</v>
      </c>
      <c r="D189" s="1">
        <f>IF(B189="Expense",D188-C189,D188+C189)</f>
        <v>64400</v>
      </c>
      <c r="H189" s="2"/>
      <c r="I189" s="1"/>
      <c r="K189" s="3"/>
    </row>
    <row r="190" spans="1:11" x14ac:dyDescent="0.3">
      <c r="A190" s="2">
        <v>44472</v>
      </c>
      <c r="B190" s="1" t="s">
        <v>0</v>
      </c>
      <c r="C190">
        <v>30</v>
      </c>
      <c r="D190" s="1">
        <f>IF(B190="Expense",D189-C190,D189+C190)</f>
        <v>64370</v>
      </c>
      <c r="H190" s="2"/>
      <c r="I190" s="1"/>
      <c r="K190" s="3"/>
    </row>
    <row r="191" spans="1:11" x14ac:dyDescent="0.3">
      <c r="A191" s="2">
        <v>44472</v>
      </c>
      <c r="B191" s="1" t="s">
        <v>0</v>
      </c>
      <c r="C191">
        <v>75</v>
      </c>
      <c r="D191" s="1">
        <f>IF(B191="Expense",D190-C191,D190+C191)</f>
        <v>64295</v>
      </c>
      <c r="H191" s="2"/>
      <c r="I191" s="1"/>
      <c r="K191" s="3"/>
    </row>
    <row r="192" spans="1:11" x14ac:dyDescent="0.3">
      <c r="A192" s="2">
        <v>44473</v>
      </c>
      <c r="B192" s="1" t="s">
        <v>0</v>
      </c>
      <c r="C192">
        <v>47</v>
      </c>
      <c r="D192" s="1">
        <f>IF(B192="Expense",D191-C192,D191+C192)</f>
        <v>64248</v>
      </c>
      <c r="H192" s="2"/>
      <c r="I192" s="1"/>
      <c r="K192" s="3"/>
    </row>
    <row r="193" spans="1:11" x14ac:dyDescent="0.3">
      <c r="A193" s="2">
        <v>44473</v>
      </c>
      <c r="B193" s="1" t="s">
        <v>0</v>
      </c>
      <c r="C193">
        <v>55</v>
      </c>
      <c r="D193" s="1">
        <f>IF(B193="Expense",D192-C193,D192+C193)</f>
        <v>64193</v>
      </c>
      <c r="H193" s="2"/>
      <c r="I193" s="1"/>
      <c r="K193" s="3"/>
    </row>
    <row r="194" spans="1:11" x14ac:dyDescent="0.3">
      <c r="A194" s="2">
        <v>44473</v>
      </c>
      <c r="B194" s="1" t="s">
        <v>0</v>
      </c>
      <c r="C194">
        <v>70</v>
      </c>
      <c r="D194" s="1">
        <f>IF(B194="Expense",D193-C194,D193+C194)</f>
        <v>64123</v>
      </c>
      <c r="H194" s="2"/>
      <c r="I194" s="1"/>
      <c r="K194" s="3"/>
    </row>
    <row r="195" spans="1:11" x14ac:dyDescent="0.3">
      <c r="A195" s="2">
        <v>44473</v>
      </c>
      <c r="B195" s="1" t="s">
        <v>0</v>
      </c>
      <c r="C195">
        <v>45</v>
      </c>
      <c r="D195" s="1">
        <f>IF(B195="Expense",D194-C195,D194+C195)</f>
        <v>64078</v>
      </c>
      <c r="H195" s="2"/>
      <c r="I195" s="1"/>
      <c r="K195" s="3"/>
    </row>
    <row r="196" spans="1:11" x14ac:dyDescent="0.3">
      <c r="A196" s="2">
        <v>44474</v>
      </c>
      <c r="B196" s="1" t="s">
        <v>0</v>
      </c>
      <c r="C196">
        <v>75</v>
      </c>
      <c r="D196" s="1">
        <f>IF(B196="Expense",D195-C196,D195+C196)</f>
        <v>64003</v>
      </c>
      <c r="H196" s="2"/>
      <c r="I196" s="1"/>
      <c r="K196" s="3"/>
    </row>
    <row r="197" spans="1:11" x14ac:dyDescent="0.3">
      <c r="A197" s="2">
        <v>44474</v>
      </c>
      <c r="B197" s="1" t="s">
        <v>0</v>
      </c>
      <c r="C197">
        <v>30</v>
      </c>
      <c r="D197" s="1">
        <f>IF(B197="Expense",D196-C197,D196+C197)</f>
        <v>63973</v>
      </c>
      <c r="H197" s="2"/>
      <c r="I197" s="1"/>
      <c r="K197" s="3"/>
    </row>
    <row r="198" spans="1:11" x14ac:dyDescent="0.3">
      <c r="A198" s="2">
        <v>44475</v>
      </c>
      <c r="B198" s="1" t="s">
        <v>0</v>
      </c>
      <c r="C198">
        <v>80</v>
      </c>
      <c r="D198" s="1">
        <f>IF(B198="Expense",D197-C198,D197+C198)</f>
        <v>63893</v>
      </c>
      <c r="H198" s="2"/>
      <c r="I198" s="1"/>
      <c r="K198" s="3"/>
    </row>
    <row r="199" spans="1:11" x14ac:dyDescent="0.3">
      <c r="A199" s="2">
        <v>44476</v>
      </c>
      <c r="B199" s="1" t="s">
        <v>0</v>
      </c>
      <c r="C199">
        <v>45</v>
      </c>
      <c r="D199" s="1">
        <f>IF(B199="Expense",D198-C199,D198+C199)</f>
        <v>63848</v>
      </c>
      <c r="H199" s="2"/>
      <c r="I199" s="1"/>
      <c r="K199" s="3"/>
    </row>
    <row r="200" spans="1:11" x14ac:dyDescent="0.3">
      <c r="A200" s="2">
        <v>44476</v>
      </c>
      <c r="B200" s="1" t="s">
        <v>0</v>
      </c>
      <c r="C200">
        <v>120</v>
      </c>
      <c r="D200" s="1">
        <f>IF(B200="Expense",D199-C200,D199+C200)</f>
        <v>63728</v>
      </c>
      <c r="H200" s="2"/>
      <c r="I200" s="1"/>
      <c r="K200" s="3"/>
    </row>
    <row r="201" spans="1:11" x14ac:dyDescent="0.3">
      <c r="A201" s="2">
        <v>44476</v>
      </c>
      <c r="B201" s="1" t="s">
        <v>0</v>
      </c>
      <c r="C201">
        <v>25</v>
      </c>
      <c r="D201" s="1">
        <f>IF(B201="Expense",D200-C201,D200+C201)</f>
        <v>63703</v>
      </c>
      <c r="H201" s="2"/>
      <c r="I201" s="1"/>
      <c r="K201" s="3"/>
    </row>
    <row r="202" spans="1:11" x14ac:dyDescent="0.3">
      <c r="A202" s="2">
        <v>44476</v>
      </c>
      <c r="B202" s="1" t="s">
        <v>0</v>
      </c>
      <c r="C202">
        <v>90</v>
      </c>
      <c r="D202" s="1">
        <f>IF(B202="Expense",D201-C202,D201+C202)</f>
        <v>63613</v>
      </c>
      <c r="H202" s="2"/>
      <c r="I202" s="1"/>
      <c r="K202" s="3"/>
    </row>
    <row r="203" spans="1:11" x14ac:dyDescent="0.3">
      <c r="A203" s="2">
        <v>44476</v>
      </c>
      <c r="B203" s="1" t="s">
        <v>0</v>
      </c>
      <c r="C203">
        <v>75</v>
      </c>
      <c r="D203" s="1">
        <f>IF(B203="Expense",D202-C203,D202+C203)</f>
        <v>63538</v>
      </c>
      <c r="H203" s="2"/>
      <c r="I203" s="1"/>
      <c r="K203" s="3"/>
    </row>
    <row r="204" spans="1:11" x14ac:dyDescent="0.3">
      <c r="A204" s="2">
        <v>44476</v>
      </c>
      <c r="B204" s="1" t="s">
        <v>0</v>
      </c>
      <c r="C204">
        <v>17</v>
      </c>
      <c r="D204" s="1">
        <f>IF(B204="Expense",D203-C204,D203+C204)</f>
        <v>63521</v>
      </c>
      <c r="H204" s="2"/>
      <c r="I204" s="1"/>
      <c r="K204" s="3"/>
    </row>
    <row r="205" spans="1:11" x14ac:dyDescent="0.3">
      <c r="A205" s="2">
        <v>44477</v>
      </c>
      <c r="B205" s="1" t="s">
        <v>0</v>
      </c>
      <c r="C205">
        <v>25</v>
      </c>
      <c r="D205" s="1">
        <f>IF(B205="Expense",D204-C205,D204+C205)</f>
        <v>63496</v>
      </c>
      <c r="H205" s="2"/>
      <c r="I205" s="1"/>
      <c r="K205" s="3"/>
    </row>
    <row r="206" spans="1:11" x14ac:dyDescent="0.3">
      <c r="A206" s="2">
        <v>44477</v>
      </c>
      <c r="B206" s="1" t="s">
        <v>0</v>
      </c>
      <c r="C206">
        <v>85</v>
      </c>
      <c r="D206" s="1">
        <f>IF(B206="Expense",D205-C206,D205+C206)</f>
        <v>63411</v>
      </c>
      <c r="H206" s="2"/>
      <c r="I206" s="1"/>
      <c r="K206" s="3"/>
    </row>
    <row r="207" spans="1:11" x14ac:dyDescent="0.3">
      <c r="A207" s="2">
        <v>44477</v>
      </c>
      <c r="B207" s="1" t="s">
        <v>0</v>
      </c>
      <c r="C207">
        <v>25</v>
      </c>
      <c r="D207" s="1">
        <f>IF(B207="Expense",D206-C207,D206+C207)</f>
        <v>63386</v>
      </c>
      <c r="H207" s="2"/>
      <c r="I207" s="1"/>
      <c r="K207" s="3"/>
    </row>
    <row r="208" spans="1:11" x14ac:dyDescent="0.3">
      <c r="A208" s="2">
        <v>44480</v>
      </c>
      <c r="B208" s="1" t="s">
        <v>0</v>
      </c>
      <c r="C208">
        <v>137</v>
      </c>
      <c r="D208" s="1">
        <f>IF(B208="Expense",D207-C208,D207+C208)</f>
        <v>63249</v>
      </c>
      <c r="H208" s="2"/>
      <c r="I208" s="1"/>
      <c r="K208" s="3"/>
    </row>
    <row r="209" spans="1:11" x14ac:dyDescent="0.3">
      <c r="A209" s="2">
        <v>44481</v>
      </c>
      <c r="B209" s="1" t="s">
        <v>0</v>
      </c>
      <c r="C209">
        <v>20</v>
      </c>
      <c r="D209" s="1">
        <f>IF(B209="Expense",D208-C209,D208+C209)</f>
        <v>63229</v>
      </c>
      <c r="H209" s="2"/>
      <c r="I209" s="1"/>
      <c r="K209" s="3"/>
    </row>
    <row r="210" spans="1:11" x14ac:dyDescent="0.3">
      <c r="A210" s="2">
        <v>44481</v>
      </c>
      <c r="B210" s="1" t="s">
        <v>0</v>
      </c>
      <c r="C210">
        <v>72</v>
      </c>
      <c r="D210" s="1">
        <f>IF(B210="Expense",D209-C210,D209+C210)</f>
        <v>63157</v>
      </c>
      <c r="H210" s="2"/>
      <c r="I210" s="1"/>
      <c r="K210" s="3"/>
    </row>
    <row r="211" spans="1:11" x14ac:dyDescent="0.3">
      <c r="A211" s="2">
        <v>44481</v>
      </c>
      <c r="B211" s="1" t="s">
        <v>0</v>
      </c>
      <c r="C211">
        <v>65</v>
      </c>
      <c r="D211" s="1">
        <f>IF(B211="Expense",D210-C211,D210+C211)</f>
        <v>63092</v>
      </c>
      <c r="H211" s="2"/>
      <c r="I211" s="1"/>
      <c r="K211" s="3"/>
    </row>
    <row r="212" spans="1:11" x14ac:dyDescent="0.3">
      <c r="A212" s="2">
        <v>44482</v>
      </c>
      <c r="B212" s="1" t="s">
        <v>0</v>
      </c>
      <c r="C212">
        <v>60</v>
      </c>
      <c r="D212" s="1">
        <f>IF(B212="Expense",D211-C212,D211+C212)</f>
        <v>63032</v>
      </c>
      <c r="H212" s="2"/>
      <c r="I212" s="1"/>
      <c r="K212" s="3"/>
    </row>
    <row r="213" spans="1:11" x14ac:dyDescent="0.3">
      <c r="A213" s="2">
        <v>44482</v>
      </c>
      <c r="B213" s="1" t="s">
        <v>0</v>
      </c>
      <c r="C213">
        <v>30</v>
      </c>
      <c r="D213" s="1">
        <f>IF(B213="Expense",D212-C213,D212+C213)</f>
        <v>63002</v>
      </c>
      <c r="H213" s="2"/>
      <c r="I213" s="1"/>
      <c r="K213" s="3"/>
    </row>
    <row r="214" spans="1:11" x14ac:dyDescent="0.3">
      <c r="A214" s="2">
        <v>44482</v>
      </c>
      <c r="B214" s="1" t="s">
        <v>0</v>
      </c>
      <c r="C214">
        <v>80</v>
      </c>
      <c r="D214" s="1">
        <f>IF(B214="Expense",D213-C214,D213+C214)</f>
        <v>62922</v>
      </c>
      <c r="H214" s="2"/>
      <c r="I214" s="1"/>
      <c r="K214" s="3"/>
    </row>
    <row r="215" spans="1:11" x14ac:dyDescent="0.3">
      <c r="A215" s="2">
        <v>44482</v>
      </c>
      <c r="B215" s="1" t="s">
        <v>0</v>
      </c>
      <c r="C215">
        <v>65</v>
      </c>
      <c r="D215" s="1">
        <f>IF(B215="Expense",D214-C215,D214+C215)</f>
        <v>62857</v>
      </c>
      <c r="H215" s="2"/>
      <c r="I215" s="1"/>
      <c r="K215" s="3"/>
    </row>
    <row r="216" spans="1:11" x14ac:dyDescent="0.3">
      <c r="A216" s="2">
        <v>44483</v>
      </c>
      <c r="B216" s="1" t="s">
        <v>0</v>
      </c>
      <c r="C216">
        <v>80</v>
      </c>
      <c r="D216" s="1">
        <f>IF(B216="Expense",D215-C216,D215+C216)</f>
        <v>62777</v>
      </c>
      <c r="H216" s="2"/>
      <c r="I216" s="1"/>
      <c r="K216" s="3"/>
    </row>
    <row r="217" spans="1:11" x14ac:dyDescent="0.3">
      <c r="A217" s="2">
        <v>44483</v>
      </c>
      <c r="B217" s="1" t="s">
        <v>0</v>
      </c>
      <c r="C217">
        <v>25</v>
      </c>
      <c r="D217" s="1">
        <f>IF(B217="Expense",D216-C217,D216+C217)</f>
        <v>62752</v>
      </c>
      <c r="H217" s="2"/>
      <c r="I217" s="1"/>
      <c r="K217" s="3"/>
    </row>
    <row r="218" spans="1:11" x14ac:dyDescent="0.3">
      <c r="A218" s="2">
        <v>44483</v>
      </c>
      <c r="B218" s="1" t="s">
        <v>0</v>
      </c>
      <c r="C218">
        <v>45</v>
      </c>
      <c r="D218" s="1">
        <f>IF(B218="Expense",D217-C218,D217+C218)</f>
        <v>62707</v>
      </c>
      <c r="H218" s="2"/>
      <c r="I218" s="1"/>
      <c r="K218" s="3"/>
    </row>
    <row r="219" spans="1:11" x14ac:dyDescent="0.3">
      <c r="A219" s="2">
        <v>44483</v>
      </c>
      <c r="B219" s="1" t="s">
        <v>0</v>
      </c>
      <c r="C219">
        <v>40</v>
      </c>
      <c r="D219" s="1">
        <f>IF(B219="Expense",D218-C219,D218+C219)</f>
        <v>62667</v>
      </c>
      <c r="H219" s="2"/>
      <c r="I219" s="1"/>
      <c r="K219" s="3"/>
    </row>
    <row r="220" spans="1:11" x14ac:dyDescent="0.3">
      <c r="A220" s="2">
        <v>44483</v>
      </c>
      <c r="B220" s="1" t="s">
        <v>0</v>
      </c>
      <c r="C220">
        <v>30</v>
      </c>
      <c r="D220" s="1">
        <f>IF(B220="Expense",D219-C220,D219+C220)</f>
        <v>62637</v>
      </c>
      <c r="H220" s="2"/>
      <c r="I220" s="1"/>
      <c r="K220" s="3"/>
    </row>
    <row r="221" spans="1:11" x14ac:dyDescent="0.3">
      <c r="A221" s="2">
        <v>44483</v>
      </c>
      <c r="B221" s="1" t="s">
        <v>0</v>
      </c>
      <c r="C221">
        <v>65</v>
      </c>
      <c r="D221" s="1">
        <f>IF(B221="Expense",D220-C221,D220+C221)</f>
        <v>62572</v>
      </c>
      <c r="H221" s="2"/>
      <c r="I221" s="1"/>
      <c r="K221" s="3"/>
    </row>
    <row r="222" spans="1:11" x14ac:dyDescent="0.3">
      <c r="A222" s="2">
        <v>44483</v>
      </c>
      <c r="B222" s="1" t="s">
        <v>0</v>
      </c>
      <c r="C222">
        <v>65</v>
      </c>
      <c r="D222" s="1">
        <f>IF(B222="Expense",D221-C222,D221+C222)</f>
        <v>62507</v>
      </c>
      <c r="H222" s="2"/>
      <c r="I222" s="1"/>
      <c r="K222" s="3"/>
    </row>
    <row r="223" spans="1:11" x14ac:dyDescent="0.3">
      <c r="A223" s="2">
        <v>44483</v>
      </c>
      <c r="B223" s="1" t="s">
        <v>0</v>
      </c>
      <c r="C223">
        <v>90</v>
      </c>
      <c r="D223" s="1">
        <f>IF(B223="Expense",D222-C223,D222+C223)</f>
        <v>62417</v>
      </c>
      <c r="H223" s="2"/>
      <c r="I223" s="1"/>
      <c r="K223" s="3"/>
    </row>
    <row r="224" spans="1:11" x14ac:dyDescent="0.3">
      <c r="A224" s="2">
        <v>44485</v>
      </c>
      <c r="B224" s="1" t="s">
        <v>0</v>
      </c>
      <c r="C224">
        <v>80</v>
      </c>
      <c r="D224" s="1">
        <f>IF(B224="Expense",D223-C224,D223+C224)</f>
        <v>62337</v>
      </c>
      <c r="H224" s="2"/>
      <c r="I224" s="1"/>
      <c r="K224" s="3"/>
    </row>
    <row r="225" spans="1:11" x14ac:dyDescent="0.3">
      <c r="A225" s="2">
        <v>44485</v>
      </c>
      <c r="B225" s="1" t="s">
        <v>0</v>
      </c>
      <c r="C225">
        <v>160</v>
      </c>
      <c r="D225" s="1">
        <f>IF(B225="Expense",D224-C225,D224+C225)</f>
        <v>62177</v>
      </c>
      <c r="H225" s="2"/>
      <c r="I225" s="1"/>
      <c r="K225" s="3"/>
    </row>
    <row r="226" spans="1:11" x14ac:dyDescent="0.3">
      <c r="A226" s="2">
        <v>44485</v>
      </c>
      <c r="B226" s="1" t="s">
        <v>0</v>
      </c>
      <c r="C226">
        <v>30</v>
      </c>
      <c r="D226" s="1">
        <f>IF(B226="Expense",D225-C226,D225+C226)</f>
        <v>62147</v>
      </c>
      <c r="H226" s="2"/>
      <c r="I226" s="1"/>
      <c r="K226" s="3"/>
    </row>
    <row r="227" spans="1:11" x14ac:dyDescent="0.3">
      <c r="A227" s="2">
        <v>44485</v>
      </c>
      <c r="B227" s="1" t="s">
        <v>0</v>
      </c>
      <c r="C227">
        <v>88</v>
      </c>
      <c r="D227" s="1">
        <f>IF(B227="Expense",D226-C227,D226+C227)</f>
        <v>62059</v>
      </c>
      <c r="H227" s="2"/>
      <c r="I227" s="1"/>
      <c r="K227" s="3"/>
    </row>
    <row r="228" spans="1:11" x14ac:dyDescent="0.3">
      <c r="A228" s="2">
        <v>44485</v>
      </c>
      <c r="B228" s="1" t="s">
        <v>0</v>
      </c>
      <c r="C228">
        <v>27</v>
      </c>
      <c r="D228" s="1">
        <f>IF(B228="Expense",D227-C228,D227+C228)</f>
        <v>62032</v>
      </c>
      <c r="H228" s="2"/>
      <c r="I228" s="1"/>
      <c r="K228" s="3"/>
    </row>
    <row r="229" spans="1:11" x14ac:dyDescent="0.3">
      <c r="A229" s="2">
        <v>44485</v>
      </c>
      <c r="B229" s="1" t="s">
        <v>0</v>
      </c>
      <c r="C229">
        <v>105</v>
      </c>
      <c r="D229" s="1">
        <f>IF(B229="Expense",D228-C229,D228+C229)</f>
        <v>61927</v>
      </c>
      <c r="H229" s="2"/>
      <c r="I229" s="1"/>
      <c r="K229" s="3"/>
    </row>
    <row r="230" spans="1:11" x14ac:dyDescent="0.3">
      <c r="A230" s="2">
        <v>44485</v>
      </c>
      <c r="B230" s="1" t="s">
        <v>0</v>
      </c>
      <c r="C230">
        <v>30</v>
      </c>
      <c r="D230" s="1">
        <f>IF(B230="Expense",D229-C230,D229+C230)</f>
        <v>61897</v>
      </c>
      <c r="H230" s="2"/>
      <c r="I230" s="1"/>
      <c r="K230" s="3"/>
    </row>
    <row r="231" spans="1:11" x14ac:dyDescent="0.3">
      <c r="A231" s="2">
        <v>44485</v>
      </c>
      <c r="B231" s="1" t="s">
        <v>0</v>
      </c>
      <c r="C231">
        <v>160</v>
      </c>
      <c r="D231" s="1">
        <f>IF(B231="Expense",D230-C231,D230+C231)</f>
        <v>61737</v>
      </c>
      <c r="H231" s="2"/>
      <c r="I231" s="1"/>
      <c r="K231" s="3"/>
    </row>
    <row r="232" spans="1:11" x14ac:dyDescent="0.3">
      <c r="A232" s="2">
        <v>44485</v>
      </c>
      <c r="B232" s="1" t="s">
        <v>0</v>
      </c>
      <c r="C232">
        <v>30</v>
      </c>
      <c r="D232" s="1">
        <f>IF(B232="Expense",D231-C232,D231+C232)</f>
        <v>61707</v>
      </c>
      <c r="H232" s="2"/>
      <c r="I232" s="1"/>
      <c r="K232" s="3"/>
    </row>
    <row r="233" spans="1:11" x14ac:dyDescent="0.3">
      <c r="A233" s="2">
        <v>44486</v>
      </c>
      <c r="B233" s="1" t="s">
        <v>0</v>
      </c>
      <c r="C233">
        <v>85</v>
      </c>
      <c r="D233" s="1">
        <f>IF(B233="Expense",D232-C233,D232+C233)</f>
        <v>61622</v>
      </c>
      <c r="H233" s="2"/>
      <c r="I233" s="1"/>
      <c r="K233" s="3"/>
    </row>
    <row r="234" spans="1:11" x14ac:dyDescent="0.3">
      <c r="A234" s="2">
        <v>44486</v>
      </c>
      <c r="B234" s="1" t="s">
        <v>0</v>
      </c>
      <c r="C234">
        <v>70</v>
      </c>
      <c r="D234" s="1">
        <f>IF(B234="Expense",D233-C234,D233+C234)</f>
        <v>61552</v>
      </c>
      <c r="H234" s="2"/>
      <c r="I234" s="1"/>
      <c r="K234" s="3"/>
    </row>
    <row r="235" spans="1:11" x14ac:dyDescent="0.3">
      <c r="A235" s="2">
        <v>44486</v>
      </c>
      <c r="B235" s="1" t="s">
        <v>0</v>
      </c>
      <c r="C235">
        <v>72</v>
      </c>
      <c r="D235" s="1">
        <f>IF(B235="Expense",D234-C235,D234+C235)</f>
        <v>61480</v>
      </c>
      <c r="H235" s="2"/>
      <c r="I235" s="1"/>
      <c r="K235" s="3"/>
    </row>
    <row r="236" spans="1:11" x14ac:dyDescent="0.3">
      <c r="A236" s="2">
        <v>44487</v>
      </c>
      <c r="B236" s="1" t="s">
        <v>0</v>
      </c>
      <c r="C236">
        <v>90</v>
      </c>
      <c r="D236" s="1">
        <f>IF(B236="Expense",D235-C236,D235+C236)</f>
        <v>61390</v>
      </c>
      <c r="H236" s="2"/>
      <c r="I236" s="1"/>
      <c r="K236" s="3"/>
    </row>
    <row r="237" spans="1:11" x14ac:dyDescent="0.3">
      <c r="A237" s="2">
        <v>44487</v>
      </c>
      <c r="B237" s="1" t="s">
        <v>0</v>
      </c>
      <c r="C237">
        <v>80</v>
      </c>
      <c r="D237" s="1">
        <f>IF(B237="Expense",D236-C237,D236+C237)</f>
        <v>61310</v>
      </c>
      <c r="H237" s="2"/>
      <c r="I237" s="1"/>
      <c r="K237" s="3"/>
    </row>
    <row r="238" spans="1:11" x14ac:dyDescent="0.3">
      <c r="A238" s="2">
        <v>44488</v>
      </c>
      <c r="B238" s="1" t="s">
        <v>0</v>
      </c>
      <c r="C238">
        <v>125</v>
      </c>
      <c r="D238" s="1">
        <f>IF(B238="Expense",D237-C238,D237+C238)</f>
        <v>61185</v>
      </c>
      <c r="H238" s="2"/>
      <c r="I238" s="1"/>
      <c r="K238" s="3"/>
    </row>
    <row r="239" spans="1:11" x14ac:dyDescent="0.3">
      <c r="A239" s="2">
        <v>44488</v>
      </c>
      <c r="B239" s="1" t="s">
        <v>0</v>
      </c>
      <c r="C239">
        <v>85</v>
      </c>
      <c r="D239" s="1">
        <f>IF(B239="Expense",D238-C239,D238+C239)</f>
        <v>61100</v>
      </c>
      <c r="H239" s="2"/>
      <c r="I239" s="1"/>
      <c r="K239" s="3"/>
    </row>
    <row r="240" spans="1:11" x14ac:dyDescent="0.3">
      <c r="A240" s="2">
        <v>44489</v>
      </c>
      <c r="B240" s="1" t="s">
        <v>0</v>
      </c>
      <c r="C240">
        <v>85</v>
      </c>
      <c r="D240" s="1">
        <f>IF(B240="Expense",D239-C240,D239+C240)</f>
        <v>61015</v>
      </c>
      <c r="H240" s="2"/>
      <c r="I240" s="1"/>
      <c r="K240" s="3"/>
    </row>
    <row r="241" spans="1:11" x14ac:dyDescent="0.3">
      <c r="A241" s="2">
        <v>44489</v>
      </c>
      <c r="B241" s="1" t="s">
        <v>0</v>
      </c>
      <c r="C241">
        <v>55</v>
      </c>
      <c r="D241" s="1">
        <f>IF(B241="Expense",D240-C241,D240+C241)</f>
        <v>60960</v>
      </c>
      <c r="H241" s="2"/>
      <c r="I241" s="1"/>
      <c r="K241" s="3"/>
    </row>
    <row r="242" spans="1:11" x14ac:dyDescent="0.3">
      <c r="A242" s="2">
        <v>44490</v>
      </c>
      <c r="B242" s="1" t="s">
        <v>0</v>
      </c>
      <c r="C242">
        <v>55</v>
      </c>
      <c r="D242" s="1">
        <f>IF(B242="Expense",D241-C242,D241+C242)</f>
        <v>60905</v>
      </c>
      <c r="H242" s="2"/>
      <c r="I242" s="1"/>
      <c r="K242" s="3"/>
    </row>
    <row r="243" spans="1:11" x14ac:dyDescent="0.3">
      <c r="A243" s="2">
        <v>44490</v>
      </c>
      <c r="B243" s="1" t="s">
        <v>0</v>
      </c>
      <c r="C243">
        <v>47</v>
      </c>
      <c r="D243" s="1">
        <f>IF(B243="Expense",D242-C243,D242+C243)</f>
        <v>60858</v>
      </c>
      <c r="H243" s="2"/>
      <c r="I243" s="1"/>
      <c r="K243" s="3"/>
    </row>
    <row r="244" spans="1:11" x14ac:dyDescent="0.3">
      <c r="A244" s="2">
        <v>44490</v>
      </c>
      <c r="B244" s="1" t="s">
        <v>0</v>
      </c>
      <c r="C244">
        <v>72</v>
      </c>
      <c r="D244" s="1">
        <f>IF(B244="Expense",D243-C244,D243+C244)</f>
        <v>60786</v>
      </c>
      <c r="H244" s="2"/>
      <c r="I244" s="1"/>
      <c r="K244" s="3"/>
    </row>
    <row r="245" spans="1:11" x14ac:dyDescent="0.3">
      <c r="A245" s="2">
        <v>44491</v>
      </c>
      <c r="B245" s="1" t="s">
        <v>0</v>
      </c>
      <c r="C245">
        <v>35</v>
      </c>
      <c r="D245" s="1">
        <f>IF(B245="Expense",D244-C245,D244+C245)</f>
        <v>60751</v>
      </c>
      <c r="H245" s="2"/>
      <c r="I245" s="1"/>
      <c r="K245" s="3"/>
    </row>
    <row r="246" spans="1:11" x14ac:dyDescent="0.3">
      <c r="A246" s="2">
        <v>44491</v>
      </c>
      <c r="B246" s="1" t="s">
        <v>0</v>
      </c>
      <c r="C246">
        <v>90</v>
      </c>
      <c r="D246" s="1">
        <f>IF(B246="Expense",D245-C246,D245+C246)</f>
        <v>60661</v>
      </c>
      <c r="H246" s="2"/>
      <c r="I246" s="1"/>
      <c r="K246" s="3"/>
    </row>
    <row r="247" spans="1:11" x14ac:dyDescent="0.3">
      <c r="A247" s="2">
        <v>44491</v>
      </c>
      <c r="B247" s="1" t="s">
        <v>0</v>
      </c>
      <c r="C247">
        <v>60</v>
      </c>
      <c r="D247" s="1">
        <f>IF(B247="Expense",D246-C247,D246+C247)</f>
        <v>60601</v>
      </c>
      <c r="H247" s="2"/>
      <c r="I247" s="1"/>
      <c r="K247" s="3"/>
    </row>
    <row r="248" spans="1:11" x14ac:dyDescent="0.3">
      <c r="A248" s="2">
        <v>44494</v>
      </c>
      <c r="B248" s="1" t="s">
        <v>0</v>
      </c>
      <c r="C248">
        <v>90</v>
      </c>
      <c r="D248" s="1">
        <f>IF(B248="Expense",D247-C248,D247+C248)</f>
        <v>60511</v>
      </c>
      <c r="H248" s="2"/>
      <c r="I248" s="1"/>
      <c r="K248" s="3"/>
    </row>
    <row r="249" spans="1:11" x14ac:dyDescent="0.3">
      <c r="A249" s="2">
        <v>44494</v>
      </c>
      <c r="B249" s="1" t="s">
        <v>0</v>
      </c>
      <c r="C249">
        <v>65</v>
      </c>
      <c r="D249" s="1">
        <f>IF(B249="Expense",D248-C249,D248+C249)</f>
        <v>60446</v>
      </c>
      <c r="H249" s="2"/>
      <c r="I249" s="1"/>
      <c r="K249" s="3"/>
    </row>
    <row r="250" spans="1:11" x14ac:dyDescent="0.3">
      <c r="A250" s="2">
        <v>44495</v>
      </c>
      <c r="B250" s="1" t="s">
        <v>0</v>
      </c>
      <c r="C250">
        <v>30</v>
      </c>
      <c r="D250" s="1">
        <f>IF(B250="Expense",D249-C250,D249+C250)</f>
        <v>60416</v>
      </c>
      <c r="H250" s="2"/>
      <c r="I250" s="1"/>
      <c r="K250" s="3"/>
    </row>
    <row r="251" spans="1:11" x14ac:dyDescent="0.3">
      <c r="A251" s="2">
        <v>44495</v>
      </c>
      <c r="B251" s="1" t="s">
        <v>0</v>
      </c>
      <c r="C251">
        <v>42</v>
      </c>
      <c r="D251" s="1">
        <f>IF(B251="Expense",D250-C251,D250+C251)</f>
        <v>60374</v>
      </c>
      <c r="H251" s="2"/>
      <c r="I251" s="1"/>
      <c r="K251" s="3"/>
    </row>
    <row r="252" spans="1:11" x14ac:dyDescent="0.3">
      <c r="A252" s="2">
        <v>44495</v>
      </c>
      <c r="B252" s="1" t="s">
        <v>0</v>
      </c>
      <c r="C252">
        <v>75</v>
      </c>
      <c r="D252" s="1">
        <f>IF(B252="Expense",D251-C252,D251+C252)</f>
        <v>60299</v>
      </c>
      <c r="H252" s="2"/>
      <c r="I252" s="1"/>
      <c r="K252" s="3"/>
    </row>
    <row r="253" spans="1:11" x14ac:dyDescent="0.3">
      <c r="A253" s="2">
        <v>44496</v>
      </c>
      <c r="B253" s="1" t="s">
        <v>0</v>
      </c>
      <c r="C253">
        <v>32</v>
      </c>
      <c r="D253" s="1">
        <f>IF(B253="Expense",D252-C253,D252+C253)</f>
        <v>60267</v>
      </c>
      <c r="H253" s="2"/>
      <c r="I253" s="1"/>
      <c r="K253" s="3"/>
    </row>
    <row r="254" spans="1:11" x14ac:dyDescent="0.3">
      <c r="A254" s="2">
        <v>44496</v>
      </c>
      <c r="B254" s="1" t="s">
        <v>0</v>
      </c>
      <c r="C254">
        <v>135</v>
      </c>
      <c r="D254" s="1">
        <f>IF(B254="Expense",D253-C254,D253+C254)</f>
        <v>60132</v>
      </c>
      <c r="H254" s="2"/>
      <c r="I254" s="1"/>
      <c r="K254" s="3"/>
    </row>
    <row r="255" spans="1:11" x14ac:dyDescent="0.3">
      <c r="A255" s="2">
        <v>44496</v>
      </c>
      <c r="B255" s="1" t="s">
        <v>0</v>
      </c>
      <c r="C255">
        <v>85</v>
      </c>
      <c r="D255" s="1">
        <f>IF(B255="Expense",D254-C255,D254+C255)</f>
        <v>60047</v>
      </c>
      <c r="H255" s="2"/>
      <c r="I255" s="1"/>
      <c r="K255" s="3"/>
    </row>
    <row r="256" spans="1:11" x14ac:dyDescent="0.3">
      <c r="A256" s="2">
        <v>44497</v>
      </c>
      <c r="B256" s="1" t="s">
        <v>0</v>
      </c>
      <c r="C256">
        <v>30</v>
      </c>
      <c r="D256" s="1">
        <f>IF(B256="Expense",D255-C256,D255+C256)</f>
        <v>60017</v>
      </c>
      <c r="H256" s="2"/>
      <c r="I256" s="1"/>
      <c r="K256" s="3"/>
    </row>
    <row r="257" spans="1:11" x14ac:dyDescent="0.3">
      <c r="A257" s="2">
        <v>44497</v>
      </c>
      <c r="B257" s="1" t="s">
        <v>0</v>
      </c>
      <c r="C257">
        <v>46</v>
      </c>
      <c r="D257" s="1">
        <f>IF(B257="Expense",D256-C257,D256+C257)</f>
        <v>59971</v>
      </c>
      <c r="H257" s="2"/>
      <c r="I257" s="1"/>
      <c r="K257" s="3"/>
    </row>
    <row r="258" spans="1:11" x14ac:dyDescent="0.3">
      <c r="A258" s="2">
        <v>44497</v>
      </c>
      <c r="B258" s="1" t="s">
        <v>0</v>
      </c>
      <c r="C258">
        <v>75</v>
      </c>
      <c r="D258" s="1">
        <f>IF(B258="Expense",D257-C258,D257+C258)</f>
        <v>59896</v>
      </c>
      <c r="H258" s="2"/>
      <c r="I258" s="1"/>
      <c r="K258" s="3"/>
    </row>
    <row r="259" spans="1:11" x14ac:dyDescent="0.3">
      <c r="A259" s="2">
        <v>44498</v>
      </c>
      <c r="B259" s="1" t="s">
        <v>0</v>
      </c>
      <c r="C259">
        <v>30</v>
      </c>
      <c r="D259" s="1">
        <f>IF(B259="Expense",D258-C259,D258+C259)</f>
        <v>59866</v>
      </c>
      <c r="H259" s="2"/>
      <c r="I259" s="1"/>
      <c r="K259" s="3"/>
    </row>
    <row r="260" spans="1:11" x14ac:dyDescent="0.3">
      <c r="A260" s="2">
        <v>44498</v>
      </c>
      <c r="B260" s="1" t="s">
        <v>0</v>
      </c>
      <c r="C260">
        <v>80</v>
      </c>
      <c r="D260" s="1">
        <f>IF(B260="Expense",D259-C260,D259+C260)</f>
        <v>59786</v>
      </c>
      <c r="H260" s="2"/>
      <c r="I260" s="1"/>
      <c r="K260" s="3"/>
    </row>
    <row r="261" spans="1:11" x14ac:dyDescent="0.3">
      <c r="A261" s="2">
        <v>44498</v>
      </c>
      <c r="B261" s="1" t="s">
        <v>0</v>
      </c>
      <c r="C261">
        <v>65</v>
      </c>
      <c r="D261" s="1">
        <f>IF(B261="Expense",D260-C261,D260+C261)</f>
        <v>59721</v>
      </c>
      <c r="H261" s="2"/>
      <c r="I261" s="1"/>
      <c r="K261" s="3"/>
    </row>
    <row r="262" spans="1:11" x14ac:dyDescent="0.3">
      <c r="A262" s="2">
        <v>44498</v>
      </c>
      <c r="B262" s="1" t="s">
        <v>0</v>
      </c>
      <c r="C262">
        <v>20</v>
      </c>
      <c r="D262" s="1">
        <f>IF(B262="Expense",D261-C262,D261+C262)</f>
        <v>59701</v>
      </c>
      <c r="H262" s="2"/>
      <c r="I262" s="1"/>
      <c r="K262" s="3"/>
    </row>
    <row r="263" spans="1:11" x14ac:dyDescent="0.3">
      <c r="A263" s="2">
        <v>44499</v>
      </c>
      <c r="B263" s="1" t="s">
        <v>0</v>
      </c>
      <c r="C263">
        <v>18</v>
      </c>
      <c r="D263" s="1">
        <f>IF(B263="Expense",D262-C263,D262+C263)</f>
        <v>59683</v>
      </c>
      <c r="H263" s="2"/>
      <c r="I263" s="1"/>
      <c r="K263" s="3"/>
    </row>
    <row r="264" spans="1:11" x14ac:dyDescent="0.3">
      <c r="A264" s="2">
        <v>44499</v>
      </c>
      <c r="B264" s="1" t="s">
        <v>0</v>
      </c>
      <c r="C264">
        <v>138</v>
      </c>
      <c r="D264" s="1">
        <f>IF(B264="Expense",D263-C264,D263+C264)</f>
        <v>59545</v>
      </c>
      <c r="H264" s="2"/>
      <c r="I264" s="1"/>
      <c r="K264" s="3"/>
    </row>
    <row r="265" spans="1:11" x14ac:dyDescent="0.3">
      <c r="A265" s="2">
        <v>44499</v>
      </c>
      <c r="B265" s="1" t="s">
        <v>0</v>
      </c>
      <c r="C265">
        <v>61</v>
      </c>
      <c r="D265" s="1">
        <f>IF(B265="Expense",D264-C265,D264+C265)</f>
        <v>59484</v>
      </c>
      <c r="H265" s="2"/>
      <c r="I265" s="1"/>
      <c r="K265" s="3"/>
    </row>
    <row r="266" spans="1:11" x14ac:dyDescent="0.3">
      <c r="A266" s="2">
        <v>44500</v>
      </c>
      <c r="B266" s="1" t="s">
        <v>0</v>
      </c>
      <c r="C266">
        <v>84</v>
      </c>
      <c r="D266" s="1">
        <f>IF(B266="Expense",D265-C266,D265+C266)</f>
        <v>59400</v>
      </c>
      <c r="H266" s="2"/>
      <c r="I266" s="1"/>
      <c r="K266" s="3"/>
    </row>
    <row r="267" spans="1:11" x14ac:dyDescent="0.3">
      <c r="A267" s="2">
        <v>44500</v>
      </c>
      <c r="B267" s="1" t="s">
        <v>0</v>
      </c>
      <c r="C267">
        <v>30</v>
      </c>
      <c r="D267" s="1">
        <f>IF(B267="Expense",D266-C267,D266+C267)</f>
        <v>59370</v>
      </c>
      <c r="H267" s="2"/>
      <c r="I267" s="1"/>
      <c r="K267" s="3"/>
    </row>
    <row r="268" spans="1:11" x14ac:dyDescent="0.3">
      <c r="A268" s="2">
        <v>44500</v>
      </c>
      <c r="B268" s="1" t="s">
        <v>0</v>
      </c>
      <c r="C268">
        <v>85</v>
      </c>
      <c r="D268" s="1">
        <f>IF(B268="Expense",D267-C268,D267+C268)</f>
        <v>59285</v>
      </c>
      <c r="H268" s="2"/>
      <c r="I268" s="1"/>
      <c r="K268" s="3"/>
    </row>
    <row r="269" spans="1:11" x14ac:dyDescent="0.3">
      <c r="A269" s="2">
        <v>44501</v>
      </c>
      <c r="B269" s="1" t="s">
        <v>1</v>
      </c>
      <c r="C269">
        <v>10000</v>
      </c>
      <c r="D269" s="1">
        <f>IF(B269="Expense",D268-C269,D268+C269)</f>
        <v>69285</v>
      </c>
      <c r="H269" s="2"/>
      <c r="I269" s="1"/>
      <c r="K269" s="3"/>
    </row>
    <row r="270" spans="1:11" x14ac:dyDescent="0.3">
      <c r="A270" s="2">
        <v>44501</v>
      </c>
      <c r="B270" s="1" t="s">
        <v>0</v>
      </c>
      <c r="C270">
        <v>75</v>
      </c>
      <c r="D270" s="1">
        <f>IF(B270="Expense",D269-C270,D269+C270)</f>
        <v>69210</v>
      </c>
      <c r="H270" s="2"/>
      <c r="I270" s="1"/>
      <c r="K270" s="3"/>
    </row>
    <row r="271" spans="1:11" x14ac:dyDescent="0.3">
      <c r="A271" s="2">
        <v>44501</v>
      </c>
      <c r="B271" s="1" t="s">
        <v>0</v>
      </c>
      <c r="C271">
        <v>74</v>
      </c>
      <c r="D271" s="1">
        <f>IF(B271="Expense",D270-C271,D270+C271)</f>
        <v>69136</v>
      </c>
      <c r="H271" s="2"/>
      <c r="I271" s="1"/>
      <c r="K271" s="3"/>
    </row>
    <row r="272" spans="1:11" x14ac:dyDescent="0.3">
      <c r="A272" s="2">
        <v>44501</v>
      </c>
      <c r="B272" s="1" t="s">
        <v>0</v>
      </c>
      <c r="C272">
        <v>100</v>
      </c>
      <c r="D272" s="1">
        <f>IF(B272="Expense",D271-C272,D271+C272)</f>
        <v>69036</v>
      </c>
      <c r="H272" s="2"/>
      <c r="I272" s="1"/>
      <c r="K272" s="3"/>
    </row>
    <row r="273" spans="1:11" x14ac:dyDescent="0.3">
      <c r="A273" s="2">
        <v>44502</v>
      </c>
      <c r="B273" s="1" t="s">
        <v>0</v>
      </c>
      <c r="C273">
        <v>30</v>
      </c>
      <c r="D273" s="1">
        <f>IF(B273="Expense",D272-C273,D272+C273)</f>
        <v>69006</v>
      </c>
      <c r="H273" s="2"/>
      <c r="I273" s="1"/>
      <c r="K273" s="3"/>
    </row>
    <row r="274" spans="1:11" x14ac:dyDescent="0.3">
      <c r="A274" s="2">
        <v>44502</v>
      </c>
      <c r="B274" s="1" t="s">
        <v>0</v>
      </c>
      <c r="C274">
        <v>45</v>
      </c>
      <c r="D274" s="1">
        <f>IF(B274="Expense",D273-C274,D273+C274)</f>
        <v>68961</v>
      </c>
      <c r="H274" s="2"/>
      <c r="I274" s="1"/>
      <c r="K274" s="3"/>
    </row>
    <row r="275" spans="1:11" x14ac:dyDescent="0.3">
      <c r="A275" s="2">
        <v>44502</v>
      </c>
      <c r="B275" s="1" t="s">
        <v>0</v>
      </c>
      <c r="C275">
        <v>50</v>
      </c>
      <c r="D275" s="1">
        <f>IF(B275="Expense",D274-C275,D274+C275)</f>
        <v>68911</v>
      </c>
      <c r="H275" s="2"/>
      <c r="I275" s="1"/>
      <c r="K275" s="3"/>
    </row>
    <row r="276" spans="1:11" x14ac:dyDescent="0.3">
      <c r="A276" s="2">
        <v>44502</v>
      </c>
      <c r="B276" s="1" t="s">
        <v>0</v>
      </c>
      <c r="C276">
        <v>45</v>
      </c>
      <c r="D276" s="1">
        <f>IF(B276="Expense",D275-C276,D275+C276)</f>
        <v>68866</v>
      </c>
      <c r="H276" s="2"/>
      <c r="I276" s="1"/>
      <c r="K276" s="3"/>
    </row>
    <row r="277" spans="1:11" x14ac:dyDescent="0.3">
      <c r="A277" s="2">
        <v>44502</v>
      </c>
      <c r="B277" s="1" t="s">
        <v>0</v>
      </c>
      <c r="C277">
        <v>20</v>
      </c>
      <c r="D277" s="1">
        <f>IF(B277="Expense",D276-C277,D276+C277)</f>
        <v>68846</v>
      </c>
      <c r="H277" s="2"/>
      <c r="I277" s="1"/>
      <c r="K277" s="3"/>
    </row>
    <row r="278" spans="1:11" x14ac:dyDescent="0.3">
      <c r="A278" s="2">
        <v>44503</v>
      </c>
      <c r="B278" s="1" t="s">
        <v>0</v>
      </c>
      <c r="C278">
        <v>50</v>
      </c>
      <c r="D278" s="1">
        <f>IF(B278="Expense",D277-C278,D277+C278)</f>
        <v>68796</v>
      </c>
      <c r="H278" s="2"/>
      <c r="I278" s="1"/>
      <c r="K278" s="3"/>
    </row>
    <row r="279" spans="1:11" x14ac:dyDescent="0.3">
      <c r="A279" s="2">
        <v>44503</v>
      </c>
      <c r="B279" s="1" t="s">
        <v>0</v>
      </c>
      <c r="C279">
        <v>85</v>
      </c>
      <c r="D279" s="1">
        <f>IF(B279="Expense",D278-C279,D278+C279)</f>
        <v>68711</v>
      </c>
      <c r="H279" s="2"/>
      <c r="I279" s="1"/>
      <c r="K279" s="3"/>
    </row>
    <row r="280" spans="1:11" x14ac:dyDescent="0.3">
      <c r="A280" s="2">
        <v>44504</v>
      </c>
      <c r="B280" s="1" t="s">
        <v>0</v>
      </c>
      <c r="C280">
        <v>42</v>
      </c>
      <c r="D280" s="1">
        <f>IF(B280="Expense",D279-C280,D279+C280)</f>
        <v>68669</v>
      </c>
      <c r="H280" s="2"/>
      <c r="I280" s="1"/>
      <c r="K280" s="3"/>
    </row>
    <row r="281" spans="1:11" x14ac:dyDescent="0.3">
      <c r="A281" s="2">
        <v>44504</v>
      </c>
      <c r="B281" s="1" t="s">
        <v>0</v>
      </c>
      <c r="C281">
        <v>30</v>
      </c>
      <c r="D281" s="1">
        <f>IF(B281="Expense",D280-C281,D280+C281)</f>
        <v>68639</v>
      </c>
      <c r="H281" s="2"/>
      <c r="I281" s="1"/>
      <c r="K281" s="3"/>
    </row>
    <row r="282" spans="1:11" x14ac:dyDescent="0.3">
      <c r="A282" s="2">
        <v>44504</v>
      </c>
      <c r="B282" s="1" t="s">
        <v>0</v>
      </c>
      <c r="C282">
        <v>46</v>
      </c>
      <c r="D282" s="1">
        <f>IF(B282="Expense",D281-C282,D281+C282)</f>
        <v>68593</v>
      </c>
      <c r="H282" s="2"/>
      <c r="I282" s="1"/>
      <c r="K282" s="3"/>
    </row>
    <row r="283" spans="1:11" x14ac:dyDescent="0.3">
      <c r="A283" s="2">
        <v>44505</v>
      </c>
      <c r="B283" s="1" t="s">
        <v>0</v>
      </c>
      <c r="C283">
        <v>105</v>
      </c>
      <c r="D283" s="1">
        <f>IF(B283="Expense",D282-C283,D282+C283)</f>
        <v>68488</v>
      </c>
      <c r="H283" s="2"/>
      <c r="I283" s="1"/>
      <c r="K283" s="3"/>
    </row>
    <row r="284" spans="1:11" x14ac:dyDescent="0.3">
      <c r="A284" s="2">
        <v>44505</v>
      </c>
      <c r="B284" s="1" t="s">
        <v>0</v>
      </c>
      <c r="C284">
        <v>120</v>
      </c>
      <c r="D284" s="1">
        <f>IF(B284="Expense",D283-C284,D283+C284)</f>
        <v>68368</v>
      </c>
      <c r="H284" s="2"/>
      <c r="I284" s="1"/>
      <c r="K284" s="3"/>
    </row>
    <row r="285" spans="1:11" x14ac:dyDescent="0.3">
      <c r="A285" s="2">
        <v>44505</v>
      </c>
      <c r="B285" s="1" t="s">
        <v>0</v>
      </c>
      <c r="C285">
        <v>80</v>
      </c>
      <c r="D285" s="1">
        <f>IF(B285="Expense",D284-C285,D284+C285)</f>
        <v>68288</v>
      </c>
      <c r="H285" s="2"/>
      <c r="I285" s="1"/>
      <c r="K285" s="3"/>
    </row>
    <row r="286" spans="1:11" x14ac:dyDescent="0.3">
      <c r="A286" s="2">
        <v>44508</v>
      </c>
      <c r="B286" s="1" t="s">
        <v>0</v>
      </c>
      <c r="C286">
        <v>30</v>
      </c>
      <c r="D286" s="1">
        <f>IF(B286="Expense",D285-C286,D285+C286)</f>
        <v>68258</v>
      </c>
      <c r="H286" s="2"/>
      <c r="I286" s="1"/>
      <c r="K286" s="3"/>
    </row>
    <row r="287" spans="1:11" x14ac:dyDescent="0.3">
      <c r="A287" s="2">
        <v>44508</v>
      </c>
      <c r="B287" s="1" t="s">
        <v>0</v>
      </c>
      <c r="C287">
        <v>45</v>
      </c>
      <c r="D287" s="1">
        <f>IF(B287="Expense",D286-C287,D286+C287)</f>
        <v>68213</v>
      </c>
      <c r="H287" s="2"/>
      <c r="I287" s="1"/>
      <c r="K287" s="3"/>
    </row>
    <row r="288" spans="1:11" x14ac:dyDescent="0.3">
      <c r="A288" s="2">
        <v>44508</v>
      </c>
      <c r="B288" s="1" t="s">
        <v>0</v>
      </c>
      <c r="C288">
        <v>80</v>
      </c>
      <c r="D288" s="1">
        <f>IF(B288="Expense",D287-C288,D287+C288)</f>
        <v>68133</v>
      </c>
      <c r="H288" s="2"/>
      <c r="I288" s="1"/>
      <c r="K288" s="3"/>
    </row>
    <row r="289" spans="1:11" x14ac:dyDescent="0.3">
      <c r="A289" s="2">
        <v>44508</v>
      </c>
      <c r="B289" s="1" t="s">
        <v>0</v>
      </c>
      <c r="C289">
        <v>18</v>
      </c>
      <c r="D289" s="1">
        <f>IF(B289="Expense",D288-C289,D288+C289)</f>
        <v>68115</v>
      </c>
      <c r="H289" s="2"/>
      <c r="I289" s="1"/>
      <c r="K289" s="3"/>
    </row>
    <row r="290" spans="1:11" x14ac:dyDescent="0.3">
      <c r="A290" s="2">
        <v>44509</v>
      </c>
      <c r="B290" s="1" t="s">
        <v>0</v>
      </c>
      <c r="C290">
        <v>35</v>
      </c>
      <c r="D290" s="1">
        <f>IF(B290="Expense",D289-C290,D289+C290)</f>
        <v>68080</v>
      </c>
      <c r="H290" s="2"/>
      <c r="I290" s="1"/>
      <c r="K290" s="3"/>
    </row>
    <row r="291" spans="1:11" x14ac:dyDescent="0.3">
      <c r="A291" s="2">
        <v>44509</v>
      </c>
      <c r="B291" s="1" t="s">
        <v>0</v>
      </c>
      <c r="C291">
        <v>70</v>
      </c>
      <c r="D291" s="1">
        <f>IF(B291="Expense",D290-C291,D290+C291)</f>
        <v>68010</v>
      </c>
      <c r="H291" s="2"/>
      <c r="I291" s="1"/>
      <c r="K291" s="3"/>
    </row>
    <row r="292" spans="1:11" x14ac:dyDescent="0.3">
      <c r="A292" s="2">
        <v>44509</v>
      </c>
      <c r="B292" s="1" t="s">
        <v>0</v>
      </c>
      <c r="C292">
        <v>65</v>
      </c>
      <c r="D292" s="1">
        <f>IF(B292="Expense",D291-C292,D291+C292)</f>
        <v>67945</v>
      </c>
      <c r="H292" s="2"/>
      <c r="I292" s="1"/>
      <c r="K292" s="3"/>
    </row>
    <row r="293" spans="1:11" x14ac:dyDescent="0.3">
      <c r="A293" s="2">
        <v>44509</v>
      </c>
      <c r="B293" s="1" t="s">
        <v>0</v>
      </c>
      <c r="C293">
        <v>45</v>
      </c>
      <c r="D293" s="1">
        <f>IF(B293="Expense",D292-C293,D292+C293)</f>
        <v>67900</v>
      </c>
      <c r="H293" s="2"/>
      <c r="I293" s="1"/>
      <c r="K293" s="3"/>
    </row>
    <row r="294" spans="1:11" x14ac:dyDescent="0.3">
      <c r="A294" s="2">
        <v>44510</v>
      </c>
      <c r="B294" s="1" t="s">
        <v>0</v>
      </c>
      <c r="C294">
        <v>90</v>
      </c>
      <c r="D294" s="1">
        <f>IF(B294="Expense",D293-C294,D293+C294)</f>
        <v>67810</v>
      </c>
      <c r="H294" s="2"/>
      <c r="I294" s="1"/>
      <c r="K294" s="3"/>
    </row>
    <row r="295" spans="1:11" x14ac:dyDescent="0.3">
      <c r="A295" s="2">
        <v>44510</v>
      </c>
      <c r="B295" s="1" t="s">
        <v>0</v>
      </c>
      <c r="C295">
        <v>500</v>
      </c>
      <c r="D295" s="1">
        <f>IF(B295="Expense",D294-C295,D294+C295)</f>
        <v>67310</v>
      </c>
      <c r="H295" s="2"/>
      <c r="I295" s="1"/>
      <c r="K295" s="3"/>
    </row>
    <row r="296" spans="1:11" x14ac:dyDescent="0.3">
      <c r="A296" s="2">
        <v>44510</v>
      </c>
      <c r="B296" s="1" t="s">
        <v>0</v>
      </c>
      <c r="C296">
        <v>85</v>
      </c>
      <c r="D296" s="1">
        <f>IF(B296="Expense",D295-C296,D295+C296)</f>
        <v>67225</v>
      </c>
      <c r="H296" s="2"/>
      <c r="I296" s="1"/>
      <c r="K296" s="3"/>
    </row>
    <row r="297" spans="1:11" x14ac:dyDescent="0.3">
      <c r="A297" s="2">
        <v>44511</v>
      </c>
      <c r="B297" s="1" t="s">
        <v>0</v>
      </c>
      <c r="C297">
        <v>45</v>
      </c>
      <c r="D297" s="1">
        <f>IF(B297="Expense",D296-C297,D296+C297)</f>
        <v>67180</v>
      </c>
      <c r="H297" s="2"/>
      <c r="I297" s="1"/>
      <c r="K297" s="3"/>
    </row>
    <row r="298" spans="1:11" x14ac:dyDescent="0.3">
      <c r="A298" s="2">
        <v>44511</v>
      </c>
      <c r="B298" s="1" t="s">
        <v>0</v>
      </c>
      <c r="C298">
        <v>60</v>
      </c>
      <c r="D298" s="1">
        <f>IF(B298="Expense",D297-C298,D297+C298)</f>
        <v>67120</v>
      </c>
      <c r="H298" s="2"/>
      <c r="I298" s="1"/>
      <c r="K298" s="3"/>
    </row>
    <row r="299" spans="1:11" x14ac:dyDescent="0.3">
      <c r="A299" s="2">
        <v>44511</v>
      </c>
      <c r="B299" s="1" t="s">
        <v>0</v>
      </c>
      <c r="C299">
        <v>30</v>
      </c>
      <c r="D299" s="1">
        <f>IF(B299="Expense",D298-C299,D298+C299)</f>
        <v>67090</v>
      </c>
      <c r="H299" s="2"/>
      <c r="I299" s="1"/>
      <c r="K299" s="3"/>
    </row>
    <row r="300" spans="1:11" x14ac:dyDescent="0.3">
      <c r="A300" s="2">
        <v>44511</v>
      </c>
      <c r="B300" s="1" t="s">
        <v>0</v>
      </c>
      <c r="C300">
        <v>68</v>
      </c>
      <c r="D300" s="1">
        <f>IF(B300="Expense",D299-C300,D299+C300)</f>
        <v>67022</v>
      </c>
      <c r="H300" s="2"/>
      <c r="I300" s="1"/>
      <c r="K300" s="3"/>
    </row>
    <row r="301" spans="1:11" x14ac:dyDescent="0.3">
      <c r="A301" s="2">
        <v>44512</v>
      </c>
      <c r="B301" s="1" t="s">
        <v>0</v>
      </c>
      <c r="C301">
        <v>218</v>
      </c>
      <c r="D301" s="1">
        <f>IF(B301="Expense",D300-C301,D300+C301)</f>
        <v>66804</v>
      </c>
      <c r="H301" s="2"/>
      <c r="I301" s="1"/>
      <c r="K301" s="3"/>
    </row>
    <row r="302" spans="1:11" x14ac:dyDescent="0.3">
      <c r="A302" s="2">
        <v>44512</v>
      </c>
      <c r="B302" s="1" t="s">
        <v>0</v>
      </c>
      <c r="C302">
        <v>35</v>
      </c>
      <c r="D302" s="1">
        <f>IF(B302="Expense",D301-C302,D301+C302)</f>
        <v>66769</v>
      </c>
      <c r="H302" s="2"/>
      <c r="I302" s="1"/>
      <c r="K302" s="3"/>
    </row>
    <row r="303" spans="1:11" x14ac:dyDescent="0.3">
      <c r="A303" s="2">
        <v>44513</v>
      </c>
      <c r="B303" s="1" t="s">
        <v>0</v>
      </c>
      <c r="C303">
        <v>60</v>
      </c>
      <c r="D303" s="1">
        <f>IF(B303="Expense",D302-C303,D302+C303)</f>
        <v>66709</v>
      </c>
      <c r="H303" s="2"/>
      <c r="I303" s="1"/>
      <c r="K303" s="3"/>
    </row>
    <row r="304" spans="1:11" x14ac:dyDescent="0.3">
      <c r="A304" s="2">
        <v>44513</v>
      </c>
      <c r="B304" s="1" t="s">
        <v>0</v>
      </c>
      <c r="C304">
        <v>190</v>
      </c>
      <c r="D304" s="1">
        <f>IF(B304="Expense",D303-C304,D303+C304)</f>
        <v>66519</v>
      </c>
      <c r="H304" s="2"/>
      <c r="I304" s="1"/>
      <c r="K304" s="3"/>
    </row>
    <row r="305" spans="1:11" x14ac:dyDescent="0.3">
      <c r="A305" s="2">
        <v>44513</v>
      </c>
      <c r="B305" s="1" t="s">
        <v>0</v>
      </c>
      <c r="C305">
        <v>95</v>
      </c>
      <c r="D305" s="1">
        <f>IF(B305="Expense",D304-C305,D304+C305)</f>
        <v>66424</v>
      </c>
      <c r="H305" s="2"/>
      <c r="I305" s="1"/>
      <c r="K305" s="3"/>
    </row>
    <row r="306" spans="1:11" x14ac:dyDescent="0.3">
      <c r="A306" s="2">
        <v>44513</v>
      </c>
      <c r="B306" s="1" t="s">
        <v>0</v>
      </c>
      <c r="C306">
        <v>50</v>
      </c>
      <c r="D306" s="1">
        <f>IF(B306="Expense",D305-C306,D305+C306)</f>
        <v>66374</v>
      </c>
      <c r="H306" s="2"/>
      <c r="I306" s="1"/>
      <c r="K306" s="3"/>
    </row>
    <row r="307" spans="1:11" x14ac:dyDescent="0.3">
      <c r="A307" s="2">
        <v>44513</v>
      </c>
      <c r="B307" s="1" t="s">
        <v>0</v>
      </c>
      <c r="C307">
        <v>110</v>
      </c>
      <c r="D307" s="1">
        <f>IF(B307="Expense",D306-C307,D306+C307)</f>
        <v>66264</v>
      </c>
      <c r="H307" s="2"/>
      <c r="I307" s="1"/>
      <c r="K307" s="3"/>
    </row>
    <row r="308" spans="1:11" x14ac:dyDescent="0.3">
      <c r="A308" s="2">
        <v>44513</v>
      </c>
      <c r="B308" s="1" t="s">
        <v>0</v>
      </c>
      <c r="C308">
        <v>80</v>
      </c>
      <c r="D308" s="1">
        <f>IF(B308="Expense",D307-C308,D307+C308)</f>
        <v>66184</v>
      </c>
      <c r="H308" s="2"/>
      <c r="I308" s="1"/>
      <c r="K308" s="3"/>
    </row>
    <row r="309" spans="1:11" x14ac:dyDescent="0.3">
      <c r="A309" s="2">
        <v>44514</v>
      </c>
      <c r="B309" s="1" t="s">
        <v>0</v>
      </c>
      <c r="C309">
        <v>75</v>
      </c>
      <c r="D309" s="1">
        <f>IF(B309="Expense",D308-C309,D308+C309)</f>
        <v>66109</v>
      </c>
      <c r="H309" s="2"/>
      <c r="I309" s="1"/>
      <c r="K309" s="3"/>
    </row>
    <row r="310" spans="1:11" x14ac:dyDescent="0.3">
      <c r="A310" s="2">
        <v>44514</v>
      </c>
      <c r="B310" s="1" t="s">
        <v>0</v>
      </c>
      <c r="C310">
        <v>95</v>
      </c>
      <c r="D310" s="1">
        <f>IF(B310="Expense",D309-C310,D309+C310)</f>
        <v>66014</v>
      </c>
      <c r="H310" s="2"/>
      <c r="I310" s="1"/>
      <c r="K310" s="3"/>
    </row>
    <row r="311" spans="1:11" x14ac:dyDescent="0.3">
      <c r="A311" s="2">
        <v>44515</v>
      </c>
      <c r="B311" s="1" t="s">
        <v>0</v>
      </c>
      <c r="C311">
        <v>80</v>
      </c>
      <c r="D311" s="1">
        <f>IF(B311="Expense",D310-C311,D310+C311)</f>
        <v>65934</v>
      </c>
      <c r="H311" s="2"/>
      <c r="I311" s="1"/>
      <c r="K311" s="3"/>
    </row>
    <row r="312" spans="1:11" x14ac:dyDescent="0.3">
      <c r="A312" s="2">
        <v>44516</v>
      </c>
      <c r="B312" s="1" t="s">
        <v>0</v>
      </c>
      <c r="C312">
        <v>65</v>
      </c>
      <c r="D312" s="1">
        <f>IF(B312="Expense",D311-C312,D311+C312)</f>
        <v>65869</v>
      </c>
      <c r="H312" s="2"/>
      <c r="I312" s="1"/>
      <c r="K312" s="3"/>
    </row>
    <row r="313" spans="1:11" x14ac:dyDescent="0.3">
      <c r="A313" s="2">
        <v>44516</v>
      </c>
      <c r="B313" s="1" t="s">
        <v>0</v>
      </c>
      <c r="C313">
        <v>45</v>
      </c>
      <c r="D313" s="1">
        <f>IF(B313="Expense",D312-C313,D312+C313)</f>
        <v>65824</v>
      </c>
      <c r="H313" s="2"/>
      <c r="I313" s="1"/>
      <c r="K313" s="3"/>
    </row>
    <row r="314" spans="1:11" x14ac:dyDescent="0.3">
      <c r="A314" s="2">
        <v>44516</v>
      </c>
      <c r="B314" s="1" t="s">
        <v>0</v>
      </c>
      <c r="C314">
        <v>45</v>
      </c>
      <c r="D314" s="1">
        <f>IF(B314="Expense",D313-C314,D313+C314)</f>
        <v>65779</v>
      </c>
      <c r="H314" s="2"/>
      <c r="I314" s="1"/>
      <c r="K314" s="3"/>
    </row>
    <row r="315" spans="1:11" x14ac:dyDescent="0.3">
      <c r="A315" s="2">
        <v>44516</v>
      </c>
      <c r="B315" s="1" t="s">
        <v>0</v>
      </c>
      <c r="C315">
        <v>80</v>
      </c>
      <c r="D315" s="1">
        <f>IF(B315="Expense",D314-C315,D314+C315)</f>
        <v>65699</v>
      </c>
      <c r="H315" s="2"/>
      <c r="I315" s="1"/>
      <c r="K315" s="3"/>
    </row>
    <row r="316" spans="1:11" x14ac:dyDescent="0.3">
      <c r="A316" s="2">
        <v>44517</v>
      </c>
      <c r="B316" s="1" t="s">
        <v>0</v>
      </c>
      <c r="C316">
        <v>160</v>
      </c>
      <c r="D316" s="1">
        <f>IF(B316="Expense",D315-C316,D315+C316)</f>
        <v>65539</v>
      </c>
      <c r="H316" s="2"/>
      <c r="I316" s="1"/>
      <c r="K316" s="3"/>
    </row>
    <row r="317" spans="1:11" x14ac:dyDescent="0.3">
      <c r="A317" s="2">
        <v>44517</v>
      </c>
      <c r="B317" s="1" t="s">
        <v>0</v>
      </c>
      <c r="C317">
        <v>55</v>
      </c>
      <c r="D317" s="1">
        <f>IF(B317="Expense",D316-C317,D316+C317)</f>
        <v>65484</v>
      </c>
      <c r="H317" s="2"/>
      <c r="I317" s="1"/>
      <c r="K317" s="3"/>
    </row>
    <row r="318" spans="1:11" x14ac:dyDescent="0.3">
      <c r="A318" s="2">
        <v>44518</v>
      </c>
      <c r="B318" s="1" t="s">
        <v>0</v>
      </c>
      <c r="C318">
        <v>80</v>
      </c>
      <c r="D318" s="1">
        <f>IF(B318="Expense",D317-C318,D317+C318)</f>
        <v>65404</v>
      </c>
      <c r="H318" s="2"/>
      <c r="I318" s="1"/>
      <c r="K318" s="3"/>
    </row>
    <row r="319" spans="1:11" x14ac:dyDescent="0.3">
      <c r="A319" s="2">
        <v>44518</v>
      </c>
      <c r="B319" s="1" t="s">
        <v>0</v>
      </c>
      <c r="C319">
        <v>28</v>
      </c>
      <c r="D319" s="1">
        <f>IF(B319="Expense",D318-C319,D318+C319)</f>
        <v>65376</v>
      </c>
      <c r="H319" s="2"/>
      <c r="I319" s="1"/>
      <c r="K319" s="3"/>
    </row>
    <row r="320" spans="1:11" x14ac:dyDescent="0.3">
      <c r="A320" s="2">
        <v>44518</v>
      </c>
      <c r="B320" s="1" t="s">
        <v>0</v>
      </c>
      <c r="C320">
        <v>99</v>
      </c>
      <c r="D320" s="1">
        <f>IF(B320="Expense",D319-C320,D319+C320)</f>
        <v>65277</v>
      </c>
      <c r="H320" s="2"/>
      <c r="I320" s="1"/>
      <c r="K320" s="3"/>
    </row>
    <row r="321" spans="1:11" x14ac:dyDescent="0.3">
      <c r="A321" s="2">
        <v>44518</v>
      </c>
      <c r="B321" s="1" t="s">
        <v>0</v>
      </c>
      <c r="C321">
        <v>35</v>
      </c>
      <c r="D321" s="1">
        <f>IF(B321="Expense",D320-C321,D320+C321)</f>
        <v>65242</v>
      </c>
      <c r="H321" s="2"/>
      <c r="I321" s="1"/>
      <c r="K321" s="3"/>
    </row>
    <row r="322" spans="1:11" x14ac:dyDescent="0.3">
      <c r="A322" s="2">
        <v>44519</v>
      </c>
      <c r="B322" s="1" t="s">
        <v>0</v>
      </c>
      <c r="C322">
        <v>80</v>
      </c>
      <c r="D322" s="1">
        <f>IF(B322="Expense",D321-C322,D321+C322)</f>
        <v>65162</v>
      </c>
      <c r="H322" s="2"/>
      <c r="I322" s="1"/>
      <c r="K322" s="3"/>
    </row>
    <row r="323" spans="1:11" x14ac:dyDescent="0.3">
      <c r="A323" s="2">
        <v>44519</v>
      </c>
      <c r="B323" s="1" t="s">
        <v>0</v>
      </c>
      <c r="C323">
        <v>70</v>
      </c>
      <c r="D323" s="1">
        <f>IF(B323="Expense",D322-C323,D322+C323)</f>
        <v>65092</v>
      </c>
      <c r="H323" s="2"/>
      <c r="I323" s="1"/>
      <c r="K323" s="3"/>
    </row>
    <row r="324" spans="1:11" x14ac:dyDescent="0.3">
      <c r="A324" s="2">
        <v>44519</v>
      </c>
      <c r="B324" s="1" t="s">
        <v>0</v>
      </c>
      <c r="C324">
        <v>55</v>
      </c>
      <c r="D324" s="1">
        <f>IF(B324="Expense",D323-C324,D323+C324)</f>
        <v>65037</v>
      </c>
      <c r="H324" s="2"/>
      <c r="I324" s="1"/>
      <c r="K324" s="3"/>
    </row>
    <row r="325" spans="1:11" x14ac:dyDescent="0.3">
      <c r="A325" s="2">
        <v>44522</v>
      </c>
      <c r="B325" s="1" t="s">
        <v>0</v>
      </c>
      <c r="C325">
        <v>65</v>
      </c>
      <c r="D325" s="1">
        <f>IF(B325="Expense",D324-C325,D324+C325)</f>
        <v>64972</v>
      </c>
      <c r="H325" s="2"/>
      <c r="I325" s="1"/>
      <c r="K325" s="3"/>
    </row>
    <row r="326" spans="1:11" x14ac:dyDescent="0.3">
      <c r="A326" s="2">
        <v>44522</v>
      </c>
      <c r="B326" s="1" t="s">
        <v>0</v>
      </c>
      <c r="C326">
        <v>60</v>
      </c>
      <c r="D326" s="1">
        <f>IF(B326="Expense",D325-C326,D325+C326)</f>
        <v>64912</v>
      </c>
      <c r="H326" s="2"/>
      <c r="I326" s="1"/>
      <c r="K326" s="3"/>
    </row>
    <row r="327" spans="1:11" x14ac:dyDescent="0.3">
      <c r="A327" s="2">
        <v>44523</v>
      </c>
      <c r="B327" s="1" t="s">
        <v>0</v>
      </c>
      <c r="C327">
        <v>15</v>
      </c>
      <c r="D327" s="1">
        <f>IF(B327="Expense",D326-C327,D326+C327)</f>
        <v>64897</v>
      </c>
      <c r="H327" s="2"/>
      <c r="I327" s="1"/>
      <c r="K327" s="3"/>
    </row>
    <row r="328" spans="1:11" x14ac:dyDescent="0.3">
      <c r="A328" s="2">
        <v>44523</v>
      </c>
      <c r="B328" s="1" t="s">
        <v>0</v>
      </c>
      <c r="C328">
        <v>38</v>
      </c>
      <c r="D328" s="1">
        <f>IF(B328="Expense",D327-C328,D327+C328)</f>
        <v>64859</v>
      </c>
      <c r="H328" s="2"/>
      <c r="I328" s="1"/>
      <c r="K328" s="3"/>
    </row>
    <row r="329" spans="1:11" x14ac:dyDescent="0.3">
      <c r="A329" s="2">
        <v>44523</v>
      </c>
      <c r="B329" s="1" t="s">
        <v>0</v>
      </c>
      <c r="C329">
        <v>70</v>
      </c>
      <c r="D329" s="1">
        <f>IF(B329="Expense",D328-C329,D328+C329)</f>
        <v>64789</v>
      </c>
      <c r="H329" s="2"/>
      <c r="I329" s="1"/>
      <c r="K329" s="3"/>
    </row>
    <row r="330" spans="1:11" x14ac:dyDescent="0.3">
      <c r="A330" s="2">
        <v>44524</v>
      </c>
      <c r="B330" s="1" t="s">
        <v>0</v>
      </c>
      <c r="C330">
        <v>1200</v>
      </c>
      <c r="D330" s="1">
        <f>IF(B330="Expense",D329-C330,D329+C330)</f>
        <v>63589</v>
      </c>
      <c r="H330" s="2"/>
      <c r="I330" s="1"/>
      <c r="K330" s="3"/>
    </row>
    <row r="331" spans="1:11" x14ac:dyDescent="0.3">
      <c r="A331" s="2">
        <v>44524</v>
      </c>
      <c r="B331" s="1" t="s">
        <v>0</v>
      </c>
      <c r="C331">
        <v>100</v>
      </c>
      <c r="D331" s="1">
        <f>IF(B331="Expense",D330-C331,D330+C331)</f>
        <v>63489</v>
      </c>
      <c r="H331" s="2"/>
      <c r="I331" s="1"/>
      <c r="K331" s="3"/>
    </row>
    <row r="332" spans="1:11" x14ac:dyDescent="0.3">
      <c r="A332" s="2">
        <v>44524</v>
      </c>
      <c r="B332" s="1" t="s">
        <v>0</v>
      </c>
      <c r="C332">
        <v>10</v>
      </c>
      <c r="D332" s="1">
        <f>IF(B332="Expense",D331-C332,D331+C332)</f>
        <v>63479</v>
      </c>
      <c r="H332" s="2"/>
      <c r="I332" s="1"/>
      <c r="K332" s="3"/>
    </row>
    <row r="333" spans="1:11" x14ac:dyDescent="0.3">
      <c r="A333" s="2">
        <v>44524</v>
      </c>
      <c r="B333" s="1" t="s">
        <v>0</v>
      </c>
      <c r="C333">
        <v>110</v>
      </c>
      <c r="D333" s="1">
        <f>IF(B333="Expense",D332-C333,D332+C333)</f>
        <v>63369</v>
      </c>
      <c r="H333" s="2"/>
      <c r="I333" s="1"/>
      <c r="K333" s="3"/>
    </row>
    <row r="334" spans="1:11" x14ac:dyDescent="0.3">
      <c r="A334" s="2">
        <v>44525</v>
      </c>
      <c r="B334" s="1" t="s">
        <v>0</v>
      </c>
      <c r="C334">
        <v>65</v>
      </c>
      <c r="D334" s="1">
        <f>IF(B334="Expense",D333-C334,D333+C334)</f>
        <v>63304</v>
      </c>
      <c r="H334" s="2"/>
      <c r="I334" s="1"/>
      <c r="K334" s="3"/>
    </row>
    <row r="335" spans="1:11" x14ac:dyDescent="0.3">
      <c r="A335" s="2">
        <v>44525</v>
      </c>
      <c r="B335" s="1" t="s">
        <v>0</v>
      </c>
      <c r="C335">
        <v>47</v>
      </c>
      <c r="D335" s="1">
        <f>IF(B335="Expense",D334-C335,D334+C335)</f>
        <v>63257</v>
      </c>
      <c r="H335" s="2"/>
      <c r="I335" s="1"/>
      <c r="K335" s="3"/>
    </row>
    <row r="336" spans="1:11" x14ac:dyDescent="0.3">
      <c r="A336" s="2">
        <v>44525</v>
      </c>
      <c r="B336" s="1" t="s">
        <v>0</v>
      </c>
      <c r="C336">
        <v>47</v>
      </c>
      <c r="D336" s="1">
        <f>IF(B336="Expense",D335-C336,D335+C336)</f>
        <v>63210</v>
      </c>
      <c r="H336" s="2"/>
      <c r="I336" s="1"/>
      <c r="K336" s="3"/>
    </row>
    <row r="337" spans="1:11" x14ac:dyDescent="0.3">
      <c r="A337" s="2">
        <v>44526</v>
      </c>
      <c r="B337" s="1" t="s">
        <v>0</v>
      </c>
      <c r="C337">
        <v>140</v>
      </c>
      <c r="D337" s="1">
        <f>IF(B337="Expense",D336-C337,D336+C337)</f>
        <v>63070</v>
      </c>
      <c r="H337" s="2"/>
      <c r="I337" s="1"/>
      <c r="K337" s="3"/>
    </row>
    <row r="338" spans="1:11" x14ac:dyDescent="0.3">
      <c r="A338" s="2">
        <v>44526</v>
      </c>
      <c r="B338" s="1" t="s">
        <v>0</v>
      </c>
      <c r="C338">
        <v>60</v>
      </c>
      <c r="D338" s="1">
        <f>IF(B338="Expense",D337-C338,D337+C338)</f>
        <v>63010</v>
      </c>
      <c r="H338" s="2"/>
      <c r="I338" s="1"/>
      <c r="K338" s="3"/>
    </row>
    <row r="339" spans="1:11" x14ac:dyDescent="0.3">
      <c r="A339" s="2">
        <v>44527</v>
      </c>
      <c r="B339" s="1" t="s">
        <v>0</v>
      </c>
      <c r="C339">
        <v>100</v>
      </c>
      <c r="D339" s="1">
        <f>IF(B339="Expense",D338-C339,D338+C339)</f>
        <v>62910</v>
      </c>
      <c r="H339" s="2"/>
      <c r="I339" s="1"/>
      <c r="K339" s="3"/>
    </row>
    <row r="340" spans="1:11" x14ac:dyDescent="0.3">
      <c r="A340" s="2">
        <v>44528</v>
      </c>
      <c r="B340" s="1" t="s">
        <v>0</v>
      </c>
      <c r="C340">
        <v>50</v>
      </c>
      <c r="D340" s="1">
        <f>IF(B340="Expense",D339-C340,D339+C340)</f>
        <v>62860</v>
      </c>
      <c r="H340" s="2"/>
      <c r="I340" s="1"/>
      <c r="K340" s="3"/>
    </row>
    <row r="341" spans="1:11" x14ac:dyDescent="0.3">
      <c r="A341" s="2">
        <v>44529</v>
      </c>
      <c r="B341" s="1" t="s">
        <v>0</v>
      </c>
      <c r="C341">
        <v>55</v>
      </c>
      <c r="D341" s="1">
        <f>IF(B341="Expense",D340-C341,D340+C341)</f>
        <v>62805</v>
      </c>
      <c r="H341" s="2"/>
      <c r="I341" s="1"/>
      <c r="K341" s="3"/>
    </row>
    <row r="342" spans="1:11" x14ac:dyDescent="0.3">
      <c r="A342" s="2">
        <v>44529</v>
      </c>
      <c r="B342" s="1" t="s">
        <v>0</v>
      </c>
      <c r="C342">
        <v>39</v>
      </c>
      <c r="D342" s="1">
        <f>IF(B342="Expense",D341-C342,D341+C342)</f>
        <v>62766</v>
      </c>
      <c r="H342" s="2"/>
      <c r="I342" s="1"/>
      <c r="K342" s="3"/>
    </row>
    <row r="343" spans="1:11" x14ac:dyDescent="0.3">
      <c r="A343" s="2">
        <v>44530</v>
      </c>
      <c r="B343" s="1" t="s">
        <v>0</v>
      </c>
      <c r="C343">
        <v>24</v>
      </c>
      <c r="D343" s="1">
        <f>IF(B343="Expense",D342-C343,D342+C343)</f>
        <v>62742</v>
      </c>
      <c r="H343" s="2"/>
      <c r="I343" s="1"/>
      <c r="K343" s="3"/>
    </row>
    <row r="344" spans="1:11" x14ac:dyDescent="0.3">
      <c r="A344" s="2">
        <v>44530</v>
      </c>
      <c r="B344" s="1" t="s">
        <v>0</v>
      </c>
      <c r="C344">
        <v>35</v>
      </c>
      <c r="D344" s="1">
        <f>IF(B344="Expense",D343-C344,D343+C344)</f>
        <v>62707</v>
      </c>
      <c r="H344" s="2"/>
      <c r="I344" s="1"/>
      <c r="K344" s="3"/>
    </row>
    <row r="345" spans="1:11" x14ac:dyDescent="0.3">
      <c r="A345" s="2">
        <v>44530</v>
      </c>
      <c r="B345" s="1" t="s">
        <v>0</v>
      </c>
      <c r="C345">
        <v>70</v>
      </c>
      <c r="D345" s="1">
        <f>IF(B345="Expense",D344-C345,D344+C345)</f>
        <v>62637</v>
      </c>
      <c r="H345" s="2"/>
      <c r="I345" s="1"/>
      <c r="K345" s="3"/>
    </row>
    <row r="346" spans="1:11" x14ac:dyDescent="0.3">
      <c r="A346" s="2">
        <v>44530</v>
      </c>
      <c r="B346" s="1" t="s">
        <v>0</v>
      </c>
      <c r="C346">
        <v>37</v>
      </c>
      <c r="D346" s="1">
        <f>IF(B346="Expense",D345-C346,D345+C346)</f>
        <v>62600</v>
      </c>
      <c r="H346" s="2"/>
      <c r="I346" s="1"/>
      <c r="K346" s="3"/>
    </row>
    <row r="347" spans="1:11" x14ac:dyDescent="0.3">
      <c r="A347" s="2">
        <v>44531</v>
      </c>
      <c r="B347" s="1" t="s">
        <v>1</v>
      </c>
      <c r="C347">
        <v>10000</v>
      </c>
      <c r="D347" s="1">
        <f>IF(B347="Expense",D346-C347,D346+C347)</f>
        <v>72600</v>
      </c>
      <c r="H347" s="2"/>
      <c r="I347" s="1"/>
      <c r="K347" s="3"/>
    </row>
    <row r="348" spans="1:11" x14ac:dyDescent="0.3">
      <c r="A348" s="2">
        <v>44531</v>
      </c>
      <c r="B348" s="1" t="s">
        <v>0</v>
      </c>
      <c r="C348">
        <v>165</v>
      </c>
      <c r="D348" s="1">
        <f>IF(B348="Expense",D347-C348,D347+C348)</f>
        <v>72435</v>
      </c>
      <c r="H348" s="2"/>
      <c r="I348" s="1"/>
      <c r="K348" s="3"/>
    </row>
    <row r="349" spans="1:11" x14ac:dyDescent="0.3">
      <c r="A349" s="2">
        <v>44531</v>
      </c>
      <c r="B349" s="1" t="s">
        <v>0</v>
      </c>
      <c r="C349">
        <v>122</v>
      </c>
      <c r="D349" s="1">
        <f>IF(B349="Expense",D348-C349,D348+C349)</f>
        <v>72313</v>
      </c>
      <c r="H349" s="2"/>
      <c r="I349" s="1"/>
      <c r="K349" s="3"/>
    </row>
    <row r="350" spans="1:11" x14ac:dyDescent="0.3">
      <c r="A350" s="2">
        <v>44532</v>
      </c>
      <c r="B350" s="1" t="s">
        <v>0</v>
      </c>
      <c r="C350">
        <v>52</v>
      </c>
      <c r="D350" s="1">
        <f>IF(B350="Expense",D349-C350,D349+C350)</f>
        <v>72261</v>
      </c>
      <c r="H350" s="2"/>
      <c r="I350" s="1"/>
      <c r="K350" s="3"/>
    </row>
    <row r="351" spans="1:11" x14ac:dyDescent="0.3">
      <c r="A351" s="2">
        <v>44532</v>
      </c>
      <c r="B351" s="1" t="s">
        <v>0</v>
      </c>
      <c r="C351">
        <v>42</v>
      </c>
      <c r="D351" s="1">
        <f>IF(B351="Expense",D350-C351,D350+C351)</f>
        <v>72219</v>
      </c>
      <c r="H351" s="2"/>
      <c r="I351" s="1"/>
      <c r="K351" s="3"/>
    </row>
    <row r="352" spans="1:11" x14ac:dyDescent="0.3">
      <c r="A352" s="2">
        <v>44532</v>
      </c>
      <c r="B352" s="1" t="s">
        <v>0</v>
      </c>
      <c r="C352">
        <v>35</v>
      </c>
      <c r="D352" s="1">
        <f>IF(B352="Expense",D351-C352,D351+C352)</f>
        <v>72184</v>
      </c>
      <c r="H352" s="2"/>
      <c r="I352" s="1"/>
      <c r="K352" s="3"/>
    </row>
    <row r="353" spans="1:11" x14ac:dyDescent="0.3">
      <c r="A353" s="2">
        <v>44532</v>
      </c>
      <c r="B353" s="1" t="s">
        <v>0</v>
      </c>
      <c r="C353">
        <v>55</v>
      </c>
      <c r="D353" s="1">
        <f>IF(B353="Expense",D352-C353,D352+C353)</f>
        <v>72129</v>
      </c>
      <c r="H353" s="2"/>
      <c r="I353" s="1"/>
      <c r="K353" s="3"/>
    </row>
    <row r="354" spans="1:11" x14ac:dyDescent="0.3">
      <c r="A354" s="2">
        <v>44533</v>
      </c>
      <c r="B354" s="1" t="s">
        <v>0</v>
      </c>
      <c r="C354">
        <v>30</v>
      </c>
      <c r="D354" s="1">
        <f>IF(B354="Expense",D353-C354,D353+C354)</f>
        <v>72099</v>
      </c>
      <c r="H354" s="2"/>
      <c r="I354" s="1"/>
      <c r="K354" s="3"/>
    </row>
    <row r="355" spans="1:11" x14ac:dyDescent="0.3">
      <c r="A355" s="2">
        <v>44533</v>
      </c>
      <c r="B355" s="1" t="s">
        <v>0</v>
      </c>
      <c r="C355">
        <v>80</v>
      </c>
      <c r="D355" s="1">
        <f>IF(B355="Expense",D354-C355,D354+C355)</f>
        <v>72019</v>
      </c>
      <c r="H355" s="2"/>
      <c r="I355" s="1"/>
      <c r="K355" s="3"/>
    </row>
    <row r="356" spans="1:11" x14ac:dyDescent="0.3">
      <c r="A356" s="2">
        <v>44533</v>
      </c>
      <c r="B356" s="1" t="s">
        <v>0</v>
      </c>
      <c r="C356">
        <v>70</v>
      </c>
      <c r="D356" s="1">
        <f>IF(B356="Expense",D355-C356,D355+C356)</f>
        <v>71949</v>
      </c>
      <c r="H356" s="2"/>
      <c r="I356" s="1"/>
      <c r="K356" s="3"/>
    </row>
    <row r="357" spans="1:11" x14ac:dyDescent="0.3">
      <c r="A357" s="2">
        <v>44534</v>
      </c>
      <c r="B357" s="1" t="s">
        <v>0</v>
      </c>
      <c r="C357">
        <v>240</v>
      </c>
      <c r="D357" s="1">
        <f>IF(B357="Expense",D356-C357,D356+C357)</f>
        <v>71709</v>
      </c>
      <c r="H357" s="2"/>
      <c r="I357" s="1"/>
      <c r="K357" s="3"/>
    </row>
    <row r="358" spans="1:11" x14ac:dyDescent="0.3">
      <c r="A358" s="2">
        <v>44534</v>
      </c>
      <c r="B358" s="1" t="s">
        <v>0</v>
      </c>
      <c r="C358">
        <v>50</v>
      </c>
      <c r="D358" s="1">
        <f>IF(B358="Expense",D357-C358,D357+C358)</f>
        <v>71659</v>
      </c>
      <c r="H358" s="2"/>
      <c r="I358" s="1"/>
      <c r="K358" s="3"/>
    </row>
    <row r="359" spans="1:11" x14ac:dyDescent="0.3">
      <c r="A359" s="2">
        <v>44534</v>
      </c>
      <c r="B359" s="1" t="s">
        <v>0</v>
      </c>
      <c r="C359">
        <v>170</v>
      </c>
      <c r="D359" s="1">
        <f>IF(B359="Expense",D358-C359,D358+C359)</f>
        <v>71489</v>
      </c>
      <c r="H359" s="2"/>
      <c r="I359" s="1"/>
      <c r="K359" s="3"/>
    </row>
    <row r="360" spans="1:11" x14ac:dyDescent="0.3">
      <c r="A360" s="2">
        <v>44535</v>
      </c>
      <c r="B360" s="1" t="s">
        <v>0</v>
      </c>
      <c r="C360">
        <v>150</v>
      </c>
      <c r="D360" s="1">
        <f>IF(B360="Expense",D359-C360,D359+C360)</f>
        <v>71339</v>
      </c>
      <c r="H360" s="2"/>
      <c r="I360" s="1"/>
      <c r="K360" s="3"/>
    </row>
    <row r="361" spans="1:11" x14ac:dyDescent="0.3">
      <c r="A361" s="2">
        <v>44535</v>
      </c>
      <c r="B361" s="1" t="s">
        <v>0</v>
      </c>
      <c r="C361">
        <v>100</v>
      </c>
      <c r="D361" s="1">
        <f>IF(B361="Expense",D360-C361,D360+C361)</f>
        <v>71239</v>
      </c>
      <c r="H361" s="2"/>
      <c r="I361" s="1"/>
      <c r="K361" s="3"/>
    </row>
    <row r="362" spans="1:11" x14ac:dyDescent="0.3">
      <c r="A362" s="2">
        <v>44536</v>
      </c>
      <c r="B362" s="1" t="s">
        <v>0</v>
      </c>
      <c r="C362">
        <v>90</v>
      </c>
      <c r="D362" s="1">
        <f>IF(B362="Expense",D361-C362,D361+C362)</f>
        <v>71149</v>
      </c>
      <c r="H362" s="2"/>
      <c r="I362" s="1"/>
      <c r="K362" s="3"/>
    </row>
    <row r="363" spans="1:11" x14ac:dyDescent="0.3">
      <c r="A363" s="2">
        <v>44536</v>
      </c>
      <c r="B363" s="1" t="s">
        <v>0</v>
      </c>
      <c r="C363">
        <v>80</v>
      </c>
      <c r="D363" s="1">
        <f>IF(B363="Expense",D362-C363,D362+C363)</f>
        <v>71069</v>
      </c>
      <c r="H363" s="2"/>
      <c r="I363" s="1"/>
      <c r="K363" s="3"/>
    </row>
    <row r="364" spans="1:11" x14ac:dyDescent="0.3">
      <c r="A364" s="2">
        <v>44537</v>
      </c>
      <c r="B364" s="1" t="s">
        <v>0</v>
      </c>
      <c r="C364">
        <v>26</v>
      </c>
      <c r="D364" s="1">
        <f>IF(B364="Expense",D363-C364,D363+C364)</f>
        <v>71043</v>
      </c>
      <c r="H364" s="2"/>
      <c r="I364" s="1"/>
      <c r="K364" s="3"/>
    </row>
    <row r="365" spans="1:11" x14ac:dyDescent="0.3">
      <c r="A365" s="2">
        <v>44537</v>
      </c>
      <c r="B365" s="1" t="s">
        <v>0</v>
      </c>
      <c r="C365">
        <v>55</v>
      </c>
      <c r="D365" s="1">
        <f>IF(B365="Expense",D364-C365,D364+C365)</f>
        <v>70988</v>
      </c>
      <c r="H365" s="2"/>
      <c r="I365" s="1"/>
      <c r="K365" s="3"/>
    </row>
    <row r="366" spans="1:11" x14ac:dyDescent="0.3">
      <c r="A366" s="2">
        <v>44537</v>
      </c>
      <c r="B366" s="1" t="s">
        <v>0</v>
      </c>
      <c r="C366">
        <v>80</v>
      </c>
      <c r="D366" s="1">
        <f>IF(B366="Expense",D365-C366,D365+C366)</f>
        <v>70908</v>
      </c>
      <c r="H366" s="2"/>
      <c r="I366" s="1"/>
      <c r="K366" s="3"/>
    </row>
    <row r="367" spans="1:11" x14ac:dyDescent="0.3">
      <c r="A367" s="2">
        <v>44538</v>
      </c>
      <c r="B367" s="1" t="s">
        <v>0</v>
      </c>
      <c r="C367">
        <v>80</v>
      </c>
      <c r="D367" s="1">
        <f>IF(B367="Expense",D366-C367,D366+C367)</f>
        <v>70828</v>
      </c>
      <c r="H367" s="2"/>
      <c r="I367" s="1"/>
      <c r="K367" s="3"/>
    </row>
    <row r="368" spans="1:11" x14ac:dyDescent="0.3">
      <c r="A368" s="2">
        <v>44539</v>
      </c>
      <c r="B368" s="1" t="s">
        <v>0</v>
      </c>
      <c r="C368">
        <v>35</v>
      </c>
      <c r="D368" s="1">
        <f>IF(B368="Expense",D367-C368,D367+C368)</f>
        <v>70793</v>
      </c>
      <c r="H368" s="2"/>
      <c r="I368" s="1"/>
      <c r="K368" s="3"/>
    </row>
    <row r="369" spans="1:11" x14ac:dyDescent="0.3">
      <c r="A369" s="2">
        <v>44539</v>
      </c>
      <c r="B369" s="1" t="s">
        <v>0</v>
      </c>
      <c r="C369">
        <v>70</v>
      </c>
      <c r="D369" s="1">
        <f>IF(B369="Expense",D368-C369,D368+C369)</f>
        <v>70723</v>
      </c>
      <c r="H369" s="2"/>
      <c r="I369" s="1"/>
      <c r="K369" s="3"/>
    </row>
    <row r="370" spans="1:11" x14ac:dyDescent="0.3">
      <c r="A370" s="2">
        <v>44539</v>
      </c>
      <c r="B370" s="1" t="s">
        <v>0</v>
      </c>
      <c r="C370">
        <v>20</v>
      </c>
      <c r="D370" s="1">
        <f>IF(B370="Expense",D369-C370,D369+C370)</f>
        <v>70703</v>
      </c>
      <c r="H370" s="2"/>
      <c r="I370" s="1"/>
      <c r="K370" s="3"/>
    </row>
    <row r="371" spans="1:11" x14ac:dyDescent="0.3">
      <c r="A371" s="2">
        <v>44539</v>
      </c>
      <c r="B371" s="1" t="s">
        <v>0</v>
      </c>
      <c r="C371">
        <v>59</v>
      </c>
      <c r="D371" s="1">
        <f>IF(B371="Expense",D370-C371,D370+C371)</f>
        <v>70644</v>
      </c>
      <c r="H371" s="2"/>
      <c r="I371" s="1"/>
      <c r="K371" s="3"/>
    </row>
    <row r="372" spans="1:11" x14ac:dyDescent="0.3">
      <c r="A372" s="2">
        <v>44539</v>
      </c>
      <c r="B372" s="1" t="s">
        <v>0</v>
      </c>
      <c r="C372">
        <v>27</v>
      </c>
      <c r="D372" s="1">
        <f>IF(B372="Expense",D371-C372,D371+C372)</f>
        <v>70617</v>
      </c>
      <c r="H372" s="2"/>
      <c r="I372" s="1"/>
      <c r="K372" s="3"/>
    </row>
    <row r="373" spans="1:11" x14ac:dyDescent="0.3">
      <c r="A373" s="2">
        <v>44540</v>
      </c>
      <c r="B373" s="1" t="s">
        <v>0</v>
      </c>
      <c r="C373">
        <v>26</v>
      </c>
      <c r="D373" s="1">
        <f>IF(B373="Expense",D372-C373,D372+C373)</f>
        <v>70591</v>
      </c>
      <c r="H373" s="2"/>
      <c r="I373" s="1"/>
      <c r="K373" s="3"/>
    </row>
    <row r="374" spans="1:11" x14ac:dyDescent="0.3">
      <c r="A374" s="2">
        <v>44540</v>
      </c>
      <c r="B374" s="1" t="s">
        <v>0</v>
      </c>
      <c r="C374">
        <v>30</v>
      </c>
      <c r="D374" s="1">
        <f>IF(B374="Expense",D373-C374,D373+C374)</f>
        <v>70561</v>
      </c>
    </row>
    <row r="375" spans="1:11" x14ac:dyDescent="0.3">
      <c r="A375" s="2">
        <v>44540</v>
      </c>
      <c r="B375" s="1" t="s">
        <v>0</v>
      </c>
      <c r="C375">
        <v>60</v>
      </c>
      <c r="D375" s="1">
        <f>IF(B375="Expense",D374-C375,D374+C375)</f>
        <v>70501</v>
      </c>
    </row>
    <row r="376" spans="1:11" x14ac:dyDescent="0.3">
      <c r="A376" s="2">
        <v>44540</v>
      </c>
      <c r="B376" s="1" t="s">
        <v>0</v>
      </c>
      <c r="C376">
        <v>205</v>
      </c>
      <c r="D376" s="1">
        <f>IF(B376="Expense",D375-C376,D375+C376)</f>
        <v>70296</v>
      </c>
    </row>
    <row r="377" spans="1:11" x14ac:dyDescent="0.3">
      <c r="A377" s="2">
        <v>44540</v>
      </c>
      <c r="B377" s="1" t="s">
        <v>0</v>
      </c>
      <c r="C377">
        <v>30</v>
      </c>
      <c r="D377" s="1">
        <f>IF(B377="Expense",D376-C377,D376+C377)</f>
        <v>70266</v>
      </c>
    </row>
    <row r="378" spans="1:11" x14ac:dyDescent="0.3">
      <c r="A378" s="2">
        <v>44540</v>
      </c>
      <c r="B378" s="1" t="s">
        <v>0</v>
      </c>
      <c r="C378">
        <v>41</v>
      </c>
      <c r="D378" s="1">
        <f>IF(B378="Expense",D377-C378,D377+C378)</f>
        <v>70225</v>
      </c>
    </row>
    <row r="379" spans="1:11" x14ac:dyDescent="0.3">
      <c r="A379" s="2">
        <v>44540</v>
      </c>
      <c r="B379" s="1" t="s">
        <v>0</v>
      </c>
      <c r="C379">
        <v>20</v>
      </c>
      <c r="D379" s="1">
        <f>IF(B379="Expense",D378-C379,D378+C379)</f>
        <v>70205</v>
      </c>
    </row>
    <row r="380" spans="1:11" x14ac:dyDescent="0.3">
      <c r="A380" s="2">
        <v>44540</v>
      </c>
      <c r="B380" s="1" t="s">
        <v>0</v>
      </c>
      <c r="C380">
        <v>150</v>
      </c>
      <c r="D380" s="1">
        <f>IF(B380="Expense",D379-C380,D379+C380)</f>
        <v>70055</v>
      </c>
    </row>
    <row r="381" spans="1:11" x14ac:dyDescent="0.3">
      <c r="A381" s="2">
        <v>44540</v>
      </c>
      <c r="B381" s="1" t="s">
        <v>0</v>
      </c>
      <c r="C381">
        <v>450</v>
      </c>
      <c r="D381" s="1">
        <f>IF(B381="Expense",D380-C381,D380+C381)</f>
        <v>69605</v>
      </c>
    </row>
    <row r="382" spans="1:11" x14ac:dyDescent="0.3">
      <c r="A382" s="2">
        <v>44542</v>
      </c>
      <c r="B382" s="1" t="s">
        <v>0</v>
      </c>
      <c r="C382">
        <v>56</v>
      </c>
      <c r="D382" s="1">
        <f>IF(B382="Expense",D381-C382,D381+C382)</f>
        <v>69549</v>
      </c>
    </row>
    <row r="383" spans="1:11" x14ac:dyDescent="0.3">
      <c r="A383" s="2">
        <v>44542</v>
      </c>
      <c r="B383" s="1" t="s">
        <v>0</v>
      </c>
      <c r="C383">
        <v>65</v>
      </c>
      <c r="D383" s="1">
        <f>IF(B383="Expense",D382-C383,D382+C383)</f>
        <v>69484</v>
      </c>
    </row>
    <row r="384" spans="1:11" x14ac:dyDescent="0.3">
      <c r="A384" s="2">
        <v>44542</v>
      </c>
      <c r="B384" s="1" t="s">
        <v>0</v>
      </c>
      <c r="C384">
        <v>70</v>
      </c>
      <c r="D384" s="1">
        <f>IF(B384="Expense",D383-C384,D383+C384)</f>
        <v>69414</v>
      </c>
    </row>
    <row r="385" spans="1:4" x14ac:dyDescent="0.3">
      <c r="A385" s="2">
        <v>44543</v>
      </c>
      <c r="B385" s="1" t="s">
        <v>0</v>
      </c>
      <c r="C385">
        <v>85</v>
      </c>
      <c r="D385" s="1">
        <f>IF(B385="Expense",D384-C385,D384+C385)</f>
        <v>69329</v>
      </c>
    </row>
    <row r="386" spans="1:4" x14ac:dyDescent="0.3">
      <c r="A386" s="2">
        <v>44543</v>
      </c>
      <c r="B386" s="1" t="s">
        <v>0</v>
      </c>
      <c r="C386">
        <v>67</v>
      </c>
      <c r="D386" s="1">
        <f>IF(B386="Expense",D385-C386,D385+C386)</f>
        <v>69262</v>
      </c>
    </row>
    <row r="387" spans="1:4" x14ac:dyDescent="0.3">
      <c r="A387" s="2">
        <v>44544</v>
      </c>
      <c r="B387" s="1" t="s">
        <v>0</v>
      </c>
      <c r="C387">
        <v>80</v>
      </c>
      <c r="D387" s="1">
        <f>IF(B387="Expense",D386-C387,D386+C387)</f>
        <v>69182</v>
      </c>
    </row>
    <row r="388" spans="1:4" x14ac:dyDescent="0.3">
      <c r="A388" s="2">
        <v>44544</v>
      </c>
      <c r="B388" s="1" t="s">
        <v>0</v>
      </c>
      <c r="C388">
        <v>100</v>
      </c>
      <c r="D388" s="1">
        <f>IF(B388="Expense",D387-C388,D387+C388)</f>
        <v>69082</v>
      </c>
    </row>
    <row r="389" spans="1:4" x14ac:dyDescent="0.3">
      <c r="A389" s="2">
        <v>44544</v>
      </c>
      <c r="B389" s="1" t="s">
        <v>0</v>
      </c>
      <c r="C389">
        <v>41</v>
      </c>
      <c r="D389" s="1">
        <f>IF(B389="Expense",D388-C389,D388+C389)</f>
        <v>69041</v>
      </c>
    </row>
    <row r="390" spans="1:4" x14ac:dyDescent="0.3">
      <c r="A390" s="2">
        <v>44545</v>
      </c>
      <c r="B390" s="1" t="s">
        <v>0</v>
      </c>
      <c r="C390">
        <v>65</v>
      </c>
      <c r="D390" s="1">
        <f>IF(B390="Expense",D389-C390,D389+C390)</f>
        <v>68976</v>
      </c>
    </row>
    <row r="391" spans="1:4" x14ac:dyDescent="0.3">
      <c r="A391" s="2">
        <v>44545</v>
      </c>
      <c r="B391" s="1" t="s">
        <v>0</v>
      </c>
      <c r="C391">
        <v>72</v>
      </c>
      <c r="D391" s="1">
        <f>IF(B391="Expense",D390-C391,D390+C391)</f>
        <v>68904</v>
      </c>
    </row>
    <row r="392" spans="1:4" x14ac:dyDescent="0.3">
      <c r="A392" s="2">
        <v>44546</v>
      </c>
      <c r="B392" s="1" t="s">
        <v>0</v>
      </c>
      <c r="C392">
        <v>59</v>
      </c>
      <c r="D392" s="1">
        <f>IF(B392="Expense",D391-C392,D391+C392)</f>
        <v>68845</v>
      </c>
    </row>
    <row r="393" spans="1:4" x14ac:dyDescent="0.3">
      <c r="A393" s="2">
        <v>44546</v>
      </c>
      <c r="B393" s="1" t="s">
        <v>0</v>
      </c>
      <c r="C393">
        <v>37</v>
      </c>
      <c r="D393" s="1">
        <f>IF(B393="Expense",D392-C393,D392+C393)</f>
        <v>68808</v>
      </c>
    </row>
    <row r="394" spans="1:4" x14ac:dyDescent="0.3">
      <c r="A394" s="2">
        <v>44546</v>
      </c>
      <c r="B394" s="1" t="s">
        <v>0</v>
      </c>
      <c r="C394">
        <v>140</v>
      </c>
      <c r="D394" s="1">
        <f>IF(B394="Expense",D393-C394,D393+C394)</f>
        <v>68668</v>
      </c>
    </row>
    <row r="395" spans="1:4" x14ac:dyDescent="0.3">
      <c r="A395" s="2">
        <v>44547</v>
      </c>
      <c r="B395" s="1" t="s">
        <v>0</v>
      </c>
      <c r="C395">
        <v>80</v>
      </c>
      <c r="D395" s="1">
        <f>IF(B395="Expense",D394-C395,D394+C395)</f>
        <v>68588</v>
      </c>
    </row>
    <row r="396" spans="1:4" x14ac:dyDescent="0.3">
      <c r="A396" s="2">
        <v>44547</v>
      </c>
      <c r="B396" s="1" t="s">
        <v>0</v>
      </c>
      <c r="C396">
        <v>70</v>
      </c>
      <c r="D396" s="1">
        <f>IF(B396="Expense",D395-C396,D395+C396)</f>
        <v>68518</v>
      </c>
    </row>
    <row r="397" spans="1:4" x14ac:dyDescent="0.3">
      <c r="A397" s="2">
        <v>44550</v>
      </c>
      <c r="B397" s="1" t="s">
        <v>0</v>
      </c>
      <c r="C397">
        <v>45</v>
      </c>
      <c r="D397" s="1">
        <f>IF(B397="Expense",D396-C397,D396+C397)</f>
        <v>68473</v>
      </c>
    </row>
    <row r="398" spans="1:4" x14ac:dyDescent="0.3">
      <c r="A398" s="2">
        <v>44550</v>
      </c>
      <c r="B398" s="1" t="s">
        <v>0</v>
      </c>
      <c r="C398">
        <v>69</v>
      </c>
      <c r="D398" s="1">
        <f>IF(B398="Expense",D397-C398,D397+C398)</f>
        <v>68404</v>
      </c>
    </row>
    <row r="399" spans="1:4" x14ac:dyDescent="0.3">
      <c r="A399" s="2">
        <v>44551</v>
      </c>
      <c r="B399" s="1" t="s">
        <v>0</v>
      </c>
      <c r="C399">
        <v>28</v>
      </c>
      <c r="D399" s="1">
        <f>IF(B399="Expense",D398-C399,D398+C399)</f>
        <v>68376</v>
      </c>
    </row>
    <row r="400" spans="1:4" x14ac:dyDescent="0.3">
      <c r="A400" s="2">
        <v>44551</v>
      </c>
      <c r="B400" s="1" t="s">
        <v>0</v>
      </c>
      <c r="C400">
        <v>56</v>
      </c>
      <c r="D400" s="1">
        <f>IF(B400="Expense",D399-C400,D399+C400)</f>
        <v>68320</v>
      </c>
    </row>
    <row r="401" spans="1:4" x14ac:dyDescent="0.3">
      <c r="A401" s="2">
        <v>44552</v>
      </c>
      <c r="B401" s="1" t="s">
        <v>0</v>
      </c>
      <c r="C401">
        <v>179</v>
      </c>
      <c r="D401" s="1">
        <f>IF(B401="Expense",D400-C401,D400+C401)</f>
        <v>68141</v>
      </c>
    </row>
    <row r="402" spans="1:4" x14ac:dyDescent="0.3">
      <c r="A402" s="2">
        <v>44552</v>
      </c>
      <c r="B402" s="1" t="s">
        <v>0</v>
      </c>
      <c r="C402">
        <v>67</v>
      </c>
      <c r="D402" s="1">
        <f>IF(B402="Expense",D401-C402,D401+C402)</f>
        <v>68074</v>
      </c>
    </row>
    <row r="403" spans="1:4" x14ac:dyDescent="0.3">
      <c r="A403" s="2">
        <v>44552</v>
      </c>
      <c r="B403" s="1" t="s">
        <v>0</v>
      </c>
      <c r="C403">
        <v>70</v>
      </c>
      <c r="D403" s="1">
        <f>IF(B403="Expense",D402-C403,D402+C403)</f>
        <v>68004</v>
      </c>
    </row>
    <row r="404" spans="1:4" x14ac:dyDescent="0.3">
      <c r="A404" s="2">
        <v>44553</v>
      </c>
      <c r="B404" s="1" t="s">
        <v>0</v>
      </c>
      <c r="C404">
        <v>205</v>
      </c>
      <c r="D404" s="1">
        <f>IF(B404="Expense",D403-C404,D403+C404)</f>
        <v>67799</v>
      </c>
    </row>
    <row r="405" spans="1:4" x14ac:dyDescent="0.3">
      <c r="A405" s="2">
        <v>44553</v>
      </c>
      <c r="B405" s="1" t="s">
        <v>0</v>
      </c>
      <c r="C405">
        <v>72</v>
      </c>
      <c r="D405" s="1">
        <f>IF(B405="Expense",D404-C405,D404+C405)</f>
        <v>67727</v>
      </c>
    </row>
    <row r="406" spans="1:4" x14ac:dyDescent="0.3">
      <c r="A406" s="2">
        <v>44553</v>
      </c>
      <c r="B406" s="1" t="s">
        <v>0</v>
      </c>
      <c r="C406">
        <v>27</v>
      </c>
      <c r="D406" s="1">
        <f>IF(B406="Expense",D405-C406,D405+C406)</f>
        <v>67700</v>
      </c>
    </row>
    <row r="407" spans="1:4" x14ac:dyDescent="0.3">
      <c r="A407" s="2">
        <v>44554</v>
      </c>
      <c r="B407" s="1" t="s">
        <v>0</v>
      </c>
      <c r="C407">
        <v>40</v>
      </c>
      <c r="D407" s="1">
        <f>IF(B407="Expense",D406-C407,D406+C407)</f>
        <v>67660</v>
      </c>
    </row>
    <row r="408" spans="1:4" x14ac:dyDescent="0.3">
      <c r="A408" s="2">
        <v>44554</v>
      </c>
      <c r="B408" s="1" t="s">
        <v>0</v>
      </c>
      <c r="C408">
        <v>60</v>
      </c>
      <c r="D408" s="1">
        <f>IF(B408="Expense",D407-C408,D407+C408)</f>
        <v>67600</v>
      </c>
    </row>
    <row r="409" spans="1:4" x14ac:dyDescent="0.3">
      <c r="A409" s="2">
        <v>44555</v>
      </c>
      <c r="B409" s="1" t="s">
        <v>0</v>
      </c>
      <c r="C409">
        <v>80</v>
      </c>
      <c r="D409" s="1">
        <f>IF(B409="Expense",D408-C409,D408+C409)</f>
        <v>67520</v>
      </c>
    </row>
    <row r="410" spans="1:4" x14ac:dyDescent="0.3">
      <c r="A410" s="2">
        <v>44555</v>
      </c>
      <c r="B410" s="1" t="s">
        <v>0</v>
      </c>
      <c r="C410">
        <v>310</v>
      </c>
      <c r="D410" s="1">
        <f>IF(B410="Expense",D409-C410,D409+C410)</f>
        <v>67210</v>
      </c>
    </row>
    <row r="411" spans="1:4" x14ac:dyDescent="0.3">
      <c r="A411" s="2">
        <v>44555</v>
      </c>
      <c r="B411" s="1" t="s">
        <v>0</v>
      </c>
      <c r="C411">
        <v>140</v>
      </c>
      <c r="D411" s="1">
        <f>IF(B411="Expense",D410-C411,D410+C411)</f>
        <v>67070</v>
      </c>
    </row>
    <row r="412" spans="1:4" x14ac:dyDescent="0.3">
      <c r="A412" s="2">
        <v>44556</v>
      </c>
      <c r="B412" s="1" t="s">
        <v>0</v>
      </c>
      <c r="C412">
        <v>95</v>
      </c>
      <c r="D412" s="1">
        <f>IF(B412="Expense",D411-C412,D411+C412)</f>
        <v>66975</v>
      </c>
    </row>
    <row r="413" spans="1:4" x14ac:dyDescent="0.3">
      <c r="A413" s="2">
        <v>44557</v>
      </c>
      <c r="B413" s="1" t="s">
        <v>0</v>
      </c>
      <c r="C413">
        <v>60</v>
      </c>
      <c r="D413" s="1">
        <f>IF(B413="Expense",D412-C413,D412+C413)</f>
        <v>66915</v>
      </c>
    </row>
    <row r="414" spans="1:4" x14ac:dyDescent="0.3">
      <c r="A414" s="2">
        <v>44557</v>
      </c>
      <c r="B414" s="1" t="s">
        <v>0</v>
      </c>
      <c r="C414">
        <v>200</v>
      </c>
      <c r="D414" s="1">
        <f>IF(B414="Expense",D413-C414,D413+C414)</f>
        <v>66715</v>
      </c>
    </row>
    <row r="415" spans="1:4" x14ac:dyDescent="0.3">
      <c r="A415" s="2">
        <v>44558</v>
      </c>
      <c r="B415" s="1" t="s">
        <v>0</v>
      </c>
      <c r="C415">
        <v>768</v>
      </c>
      <c r="D415" s="1">
        <f>IF(B415="Expense",D414-C415,D414+C415)</f>
        <v>65947</v>
      </c>
    </row>
    <row r="416" spans="1:4" x14ac:dyDescent="0.3">
      <c r="A416" s="2">
        <v>44558</v>
      </c>
      <c r="B416" s="1" t="s">
        <v>0</v>
      </c>
      <c r="C416">
        <v>43</v>
      </c>
      <c r="D416" s="1">
        <f>IF(B416="Expense",D415-C416,D415+C416)</f>
        <v>65904</v>
      </c>
    </row>
    <row r="417" spans="1:4" x14ac:dyDescent="0.3">
      <c r="A417" s="2">
        <v>44558</v>
      </c>
      <c r="B417" s="1" t="s">
        <v>0</v>
      </c>
      <c r="C417">
        <v>20</v>
      </c>
      <c r="D417" s="1">
        <f>IF(B417="Expense",D416-C417,D416+C417)</f>
        <v>65884</v>
      </c>
    </row>
    <row r="418" spans="1:4" x14ac:dyDescent="0.3">
      <c r="A418" s="2">
        <v>44558</v>
      </c>
      <c r="B418" s="1" t="s">
        <v>0</v>
      </c>
      <c r="C418">
        <v>60</v>
      </c>
      <c r="D418" s="1">
        <f>IF(B418="Expense",D417-C418,D417+C418)</f>
        <v>65824</v>
      </c>
    </row>
    <row r="419" spans="1:4" x14ac:dyDescent="0.3">
      <c r="A419" s="2">
        <v>44558</v>
      </c>
      <c r="B419" s="1" t="s">
        <v>0</v>
      </c>
      <c r="C419">
        <v>1100</v>
      </c>
      <c r="D419" s="1">
        <f>IF(B419="Expense",D418-C419,D418+C419)</f>
        <v>64724</v>
      </c>
    </row>
    <row r="420" spans="1:4" x14ac:dyDescent="0.3">
      <c r="A420" s="2">
        <v>44558</v>
      </c>
      <c r="B420" s="1" t="s">
        <v>0</v>
      </c>
      <c r="C420">
        <v>23</v>
      </c>
      <c r="D420" s="1">
        <f>IF(B420="Expense",D419-C420,D419+C420)</f>
        <v>64701</v>
      </c>
    </row>
    <row r="421" spans="1:4" x14ac:dyDescent="0.3">
      <c r="A421" s="2">
        <v>44559</v>
      </c>
      <c r="B421" s="1" t="s">
        <v>0</v>
      </c>
      <c r="C421">
        <v>38</v>
      </c>
      <c r="D421" s="1">
        <f>IF(B421="Expense",D420-C421,D420+C421)</f>
        <v>64663</v>
      </c>
    </row>
    <row r="422" spans="1:4" x14ac:dyDescent="0.3">
      <c r="A422" s="2">
        <v>44560</v>
      </c>
      <c r="B422" s="1" t="s">
        <v>0</v>
      </c>
      <c r="C422">
        <v>75</v>
      </c>
      <c r="D422" s="1">
        <f>IF(B422="Expense",D421-C422,D421+C422)</f>
        <v>64588</v>
      </c>
    </row>
    <row r="423" spans="1:4" x14ac:dyDescent="0.3">
      <c r="A423" s="2">
        <v>44560</v>
      </c>
      <c r="B423" s="1" t="s">
        <v>0</v>
      </c>
      <c r="C423">
        <v>135</v>
      </c>
      <c r="D423" s="1">
        <f>IF(B423="Expense",D422-C423,D422+C423)</f>
        <v>64453</v>
      </c>
    </row>
    <row r="424" spans="1:4" x14ac:dyDescent="0.3">
      <c r="D42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Kuo</dc:creator>
  <cp:lastModifiedBy>Chris Kuo</cp:lastModifiedBy>
  <dcterms:created xsi:type="dcterms:W3CDTF">2026-03-04T10:43:28Z</dcterms:created>
  <dcterms:modified xsi:type="dcterms:W3CDTF">2026-03-04T10:45:19Z</dcterms:modified>
</cp:coreProperties>
</file>